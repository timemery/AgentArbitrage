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ive Analysis" sheetId="1" r:id="rId5"/>
    <sheet state="visible" name="Marketing Cost Projection" sheetId="2" r:id="rId6"/>
    <sheet state="visible" name="Temp Data Dump" sheetId="3" r:id="rId7"/>
    <sheet state="visible" name="Calculate Strategies and Intell" sheetId="4" r:id="rId8"/>
  </sheets>
  <definedNames/>
  <calcPr/>
</workbook>
</file>

<file path=xl/sharedStrings.xml><?xml version="1.0" encoding="utf-8"?>
<sst xmlns="http://schemas.openxmlformats.org/spreadsheetml/2006/main" count="486" uniqueCount="269">
  <si>
    <t>Tool</t>
  </si>
  <si>
    <t>Name</t>
  </si>
  <si>
    <t>Monthly 
Price Range 
(USD)</t>
  </si>
  <si>
    <r>
      <rPr>
        <rFont val="Arial"/>
        <b/>
        <color theme="1"/>
        <sz val="11.0"/>
      </rPr>
      <t xml:space="preserve">Annual 
Equivalent 
</t>
    </r>
    <r>
      <rPr>
        <rFont val="Arial"/>
        <b val="0"/>
        <color theme="1"/>
        <sz val="11.0"/>
      </rPr>
      <t>(approx. /mo)</t>
    </r>
  </si>
  <si>
    <t>Monthly 
Server, 
Infra Costs</t>
  </si>
  <si>
    <t xml:space="preserve">Monthly 
Marketing 
Costs </t>
  </si>
  <si>
    <t xml:space="preserve">Monthly 
Proxy, 
Scraping, 
Data Costs </t>
  </si>
  <si>
    <t xml:space="preserve">Monthly 
Developer 
Salaries, 
Engineering Costs </t>
  </si>
  <si>
    <t xml:space="preserve">Monthly 
Customer 
Support, 
Success Costs </t>
  </si>
  <si>
    <t xml:space="preserve">Monthly 
Payment 
Processing 
Fees </t>
  </si>
  <si>
    <t xml:space="preserve">Monthly 
Third-Party APIs, 
Data Feeds Costs </t>
  </si>
  <si>
    <t xml:space="preserve">Monthly 
Legal, 
Compliance, 
Admin Costs </t>
  </si>
  <si>
    <t xml:space="preserve">Monthly 
Office, 
Tools, 
Misc Overhead </t>
  </si>
  <si>
    <t>Supported 
Paying 
Users</t>
  </si>
  <si>
    <r>
      <rPr>
        <rFont val="Arial"/>
        <b/>
        <color theme="1"/>
        <sz val="11.0"/>
      </rPr>
      <t xml:space="preserve">Total Employees
</t>
    </r>
    <r>
      <rPr>
        <rFont val="Arial"/>
        <b val="0"/>
        <color theme="1"/>
        <sz val="11.0"/>
      </rPr>
      <t>(mostly full-time core)</t>
    </r>
  </si>
  <si>
    <t>Notes on 
Staffing</t>
  </si>
  <si>
    <r>
      <rPr>
        <rFont val="Arial"/>
        <b/>
        <color theme="1"/>
        <sz val="11.0"/>
      </rPr>
      <t xml:space="preserve">User Review Score 
</t>
    </r>
    <r>
      <rPr>
        <rFont val="Arial"/>
        <b val="0"/>
        <color theme="1"/>
        <sz val="11.0"/>
      </rPr>
      <t>(Trustpilot / Notes)</t>
    </r>
  </si>
  <si>
    <t>Est Yearly 
Gross Revenue</t>
  </si>
  <si>
    <t>Est Yearly 
Net Revenue</t>
  </si>
  <si>
    <t>Monthly Cost 
Per User</t>
  </si>
  <si>
    <t>Gross Monhtly 
Profit/User</t>
  </si>
  <si>
    <t xml:space="preserve"> 
Low</t>
  </si>
  <si>
    <t xml:space="preserve"> 
High</t>
  </si>
  <si>
    <t>Discounts
Enterprize</t>
  </si>
  <si>
    <t>Score/5</t>
  </si>
  <si>
    <t>Reviews</t>
  </si>
  <si>
    <t>Sentiment</t>
  </si>
  <si>
    <t>Notes on Profit/User</t>
  </si>
  <si>
    <t>Tactical Arbitrage</t>
  </si>
  <si>
    <t>tacticalarbitrage.com</t>
  </si>
  <si>
    <t>Small core; heavy reliance on automation/contractors</t>
  </si>
  <si>
    <t>113 reviews</t>
  </si>
  <si>
    <t>mixed/poor</t>
  </si>
  <si>
    <t>plus</t>
  </si>
  <si>
    <t>SourceMogul</t>
  </si>
  <si>
    <t>sourcemogul.com</t>
  </si>
  <si>
    <t>Small UK-based team</t>
  </si>
  <si>
    <t>34 reviews</t>
  </si>
  <si>
    <t>poor</t>
  </si>
  <si>
    <t xml:space="preserve">Includes Free or Trial account </t>
  </si>
  <si>
    <t>Nepeto</t>
  </si>
  <si>
    <t>nepeto.com</t>
  </si>
  <si>
    <t>Partnership; likely founder-led + contractors</t>
  </si>
  <si>
    <t>19 reviews</t>
  </si>
  <si>
    <t>average</t>
  </si>
  <si>
    <t>Seller Assistant</t>
  </si>
  <si>
    <t>sellerassistant.app</t>
  </si>
  <si>
    <t>Broader team; includes devs/support</t>
  </si>
  <si>
    <t>10 reviews</t>
  </si>
  <si>
    <t>good</t>
  </si>
  <si>
    <t>SellerAmp</t>
  </si>
  <si>
    <t>selleramp.com</t>
  </si>
  <si>
    <t>Small core team</t>
  </si>
  <si>
    <t>No Trustpilot; Reddit positive</t>
  </si>
  <si>
    <t>SmartScout</t>
  </si>
  <si>
    <t>smartscout.com</t>
  </si>
  <si>
    <t>More established/growing team</t>
  </si>
  <si>
    <t>36 reviews</t>
  </si>
  <si>
    <t>great</t>
  </si>
  <si>
    <t>Arbitrage Hero</t>
  </si>
  <si>
    <t>arbitragehero.com</t>
  </si>
  <si>
    <t>Limited public data; likely solo/small</t>
  </si>
  <si>
    <t>9 reviews</t>
  </si>
  <si>
    <t>No higher tier User account</t>
  </si>
  <si>
    <t>Arbitrage Cyclops</t>
  </si>
  <si>
    <t>arbitragecyclops.com</t>
  </si>
  <si>
    <t>Limited public data</t>
  </si>
  <si>
    <t>No Trustpilot; low visibility</t>
  </si>
  <si>
    <t>BookMine</t>
  </si>
  <si>
    <t>bookmine.co</t>
  </si>
  <si>
    <t>Founder-led (Joji Davenport, Victor Gallegos) + contractors</t>
  </si>
  <si>
    <t>No Trustpilot; limited visibility/no major reviews</t>
  </si>
  <si>
    <t>OAGenius Gravity</t>
  </si>
  <si>
    <t>oagenius.com</t>
  </si>
  <si>
    <t>Small-mid team; dropship automation focus</t>
  </si>
  <si>
    <t>No Trustpilot major; positive mentions for accuracy</t>
  </si>
  <si>
    <t>ArbiSource</t>
  </si>
  <si>
    <t>arbisource.com</t>
  </si>
  <si>
    <t>Founder-led + support</t>
  </si>
  <si>
    <t>excellent</t>
  </si>
  <si>
    <t>BuyBotPro</t>
  </si>
  <si>
    <t>buybotpro.com</t>
  </si>
  <si>
    <t>Chrome extension focus</t>
  </si>
  <si>
    <t>No Trustpilot high volume; Chrome 4.2/5 (74 ratings); mixed complaints</t>
  </si>
  <si>
    <t>RevSeller</t>
  </si>
  <si>
    <t>revseller.com</t>
  </si>
  <si>
    <t>Minimal team; extension-focused</t>
  </si>
  <si>
    <t>No Trustpilot; positive Reddit/YouTube for value</t>
  </si>
  <si>
    <t>Average</t>
  </si>
  <si>
    <t>Lowest</t>
  </si>
  <si>
    <t>Highest</t>
  </si>
  <si>
    <t>50% Lower of Lowest (Sweet Spot)</t>
  </si>
  <si>
    <t>Average of Low to High</t>
  </si>
  <si>
    <t>Hosting costs and associated capacity at each price tier</t>
  </si>
  <si>
    <t>Avgerage</t>
  </si>
  <si>
    <t>Avg. Est Yearly 
Gross Revenue</t>
  </si>
  <si>
    <t>Avg. Est Yearly 
Net Revenue</t>
  </si>
  <si>
    <t>Avg. Est Cost
Per User /m</t>
  </si>
  <si>
    <t>Avg. Est Profit
Per User /m</t>
  </si>
  <si>
    <t>Avg. Est Margin
Per User /m</t>
  </si>
  <si>
    <t>Refer to Documentation/Capacity_Planning.md</t>
  </si>
  <si>
    <t>Notes</t>
  </si>
  <si>
    <t>All estimates are approximate and based on public sources (official sites, Tracxn, LinkedIn, PitchBook, RocketReach, etc.) as of early 2026. Employee numbers reflect total reported staff (mostly full-time; part-time/contractors often not broken out or undercounted in these databases—common for SaaS where freelancers handle dev/support/scraping). No tool publicly splits full-time/part-time/contractors precisely. Server costs are industry-benchmarked rough ranges for similar data-intensive SaaS (scraping, cloud processing).</t>
  </si>
  <si>
    <t>Subscribers:</t>
  </si>
  <si>
    <t>0 - 200</t>
  </si>
  <si>
    <t xml:space="preserve">Cost/mo </t>
  </si>
  <si>
    <t>Estimated Supported Paying Users: The approximate number of active paying subscribers each tool's business can realistically sustain with its current scale, revenue, and infrastructure (based on public hints, pricing, and industry benchmarks). Not exact official numbers—private companies don't disclose them.</t>
  </si>
  <si>
    <t>Concurrent Users:</t>
  </si>
  <si>
    <t>1 - 10</t>
  </si>
  <si>
    <r>
      <rPr/>
      <t>Refer to '</t>
    </r>
    <r>
      <rPr>
        <color rgb="FF1155CC"/>
        <u/>
      </rPr>
      <t>Competitive_Advantages_Assessment.md</t>
    </r>
    <r>
      <rPr/>
      <t>' to understand Agent Arbitrage competitive advantages</t>
    </r>
  </si>
  <si>
    <t>Infrastructure:</t>
  </si>
  <si>
    <t>KVM 1 (1 vCPU / 4GB RAM)</t>
  </si>
  <si>
    <t>User satisfaction: primarily Trustpilot scores where available, as the main public aggregator; supplemented by Reddit sentiment and other mentions</t>
  </si>
  <si>
    <t xml:space="preserve">Subscribers: </t>
  </si>
  <si>
    <t>200 - 1,000</t>
  </si>
  <si>
    <t>- Estimated Monthly Proxy/Scraping/Data Costs (rough est.)</t>
  </si>
  <si>
    <t>10 - 50</t>
  </si>
  <si>
    <t>- Estimated Monthly Developer Salaries / Engineering Costs (rough est.)</t>
  </si>
  <si>
    <t>Upgrade to KVM 4 (4 vCPU / 16GB RAM)</t>
  </si>
  <si>
    <t>- Estimated Monthly Customer Support / Success Costs (rough est.)</t>
  </si>
  <si>
    <t>- Estimated Monthly Payment Processing Fees (rough est.)</t>
  </si>
  <si>
    <t>1,000 - 5,000</t>
  </si>
  <si>
    <t>- Estimated Monthly Third-Party APIs / Data Feeds Costs (rough est.)</t>
  </si>
  <si>
    <t>50 - 250</t>
  </si>
  <si>
    <t>- Estimated Monthly Legal / Compliance / Admin Costs (rough est.)</t>
  </si>
  <si>
    <t>Split Services</t>
  </si>
  <si>
    <t>Total</t>
  </si>
  <si>
    <t>- Estimated Monthly Office / Tools / Misc Overhead (rough est.)</t>
  </si>
  <si>
    <t>5,000+</t>
  </si>
  <si>
    <t>250+</t>
  </si>
  <si>
    <t>Load Balancer + Multiple Web Nodes</t>
  </si>
  <si>
    <t>Unknown - not a concern at this stage</t>
  </si>
  <si>
    <t>based on the known marketing costs, what is the cost to go from 0 users to 200 users, and 200 users to 1000 users, and from 1000 to 5000 users</t>
  </si>
  <si>
    <t>Growth Phase Marketing Cost Estimates</t>
  </si>
  <si>
    <r>
      <rPr>
        <rFont val="Arial"/>
        <i/>
        <color theme="1"/>
      </rPr>
      <t xml:space="preserve">(based on averaged monthly marketing from competition; assumes $150–$350 CAC, ramping efficiency, </t>
    </r>
    <r>
      <rPr>
        <rFont val="Arial"/>
        <b/>
        <i/>
        <color theme="1"/>
      </rPr>
      <t>6–18 mo per phase</t>
    </r>
    <r>
      <rPr>
        <rFont val="Arial"/>
        <i/>
        <color theme="1"/>
      </rPr>
      <t>).</t>
    </r>
  </si>
  <si>
    <t>Phase</t>
  </si>
  <si>
    <t>Users 
Gained</t>
  </si>
  <si>
    <t>Est. Total 
Marketing Cost (Low)</t>
  </si>
  <si>
    <t>Est. Total 
Marketing Cost (High)</t>
  </si>
  <si>
    <t>Supported 
Paying Users</t>
  </si>
  <si>
    <t>0–200</t>
  </si>
  <si>
    <t>$40,000–$100,000</t>
  </si>
  <si>
    <t>$80,000–$200,000</t>
  </si>
  <si>
    <t>Heaviest per user: launch ads, content, SEO — initial stage is costliest relative to gains.</t>
  </si>
  <si>
    <t>200–1,000</t>
  </si>
  <si>
    <t>$80,000–$160,000</t>
  </si>
  <si>
    <t>$150,000–$320,000</t>
  </si>
  <si>
    <t>CAC drops with organic/referrals; steady paid push.</t>
  </si>
  <si>
    <t>1,000–5,000</t>
  </si>
  <si>
    <t>$300,000–$600,000</t>
  </si>
  <si>
    <t>$600,000–$1,200,000</t>
  </si>
  <si>
    <t>Volume ads dominate; highest total but lowest per-user cost.</t>
  </si>
  <si>
    <t>The 7 forgotten costs are now added as columns (rough monthly estimates for similar niche SaaS tools):</t>
  </si>
  <si>
    <t>Updated tab-delimited table (copy-paste to Google Sheets, cell A1):</t>
  </si>
  <si>
    <t>Monthly Price Range (USD)</t>
  </si>
  <si>
    <t>Annual Equivalent (approx. /mo)</t>
  </si>
  <si>
    <t>Estimated Monthly Server/Infra Costs (rough est.)</t>
  </si>
  <si>
    <t>Estimated Monthly Proxy/Scraping/Data Costs (rough est.)</t>
  </si>
  <si>
    <t>Estimated Monthly Developer Salaries / Engineering Costs (rough est.)</t>
  </si>
  <si>
    <t>Estimated Monthly Customer Support / Success Costs (rough est.)</t>
  </si>
  <si>
    <t>Estimated Monthly Payment Processing Fees (rough est.)</t>
  </si>
  <si>
    <t>Estimated Monthly Third-Party APIs / Data Feeds Costs (rough est.)</t>
  </si>
  <si>
    <t>Estimated Monthly Legal / Compliance / Admin Costs (rough est.)</t>
  </si>
  <si>
    <t>Estimated Monthly Office / Tools / Misc Overhead (rough est.)</t>
  </si>
  <si>
    <t>Estimated Monthly Marketing Costs (rough est.)</t>
  </si>
  <si>
    <t>Estimated Supported Paying Users</t>
  </si>
  <si>
    <t>Estimated Total Employees (mostly full-time core)</t>
  </si>
  <si>
    <t>Notes on Staffing</t>
  </si>
  <si>
    <t>User Review Score (Trustpilot / Notes)</t>
  </si>
  <si>
    <t>Est Yearly Gross Revenue</t>
  </si>
  <si>
    <t>$59 – $159</t>
  </si>
  <si>
    <t>~$39 – $124</t>
  </si>
  <si>
    <t>$20,000 – $60,000+</t>
  </si>
  <si>
    <t>$10,000 – $40,000+</t>
  </si>
  <si>
    <t>$10,000 – $30,000</t>
  </si>
  <si>
    <t>$5,000 – $20,000</t>
  </si>
  <si>
    <t>$2,000 – $10,000</t>
  </si>
  <si>
    <t>$1,000 – $5,000</t>
  </si>
  <si>
    <t>$500 – $2,000</t>
  </si>
  <si>
    <t>$10,000 – $50,000+</t>
  </si>
  <si>
    <t>2,000 – 8,000+</t>
  </si>
  <si>
    <t>Small core; heavy automation/contractors</t>
  </si>
  <si>
    <t>2.8/5 (113) — mixed/poor</t>
  </si>
  <si>
    <t>$1M–$5M+</t>
  </si>
  <si>
    <t>$0 – ~$97</t>
  </si>
  <si>
    <t>~$73</t>
  </si>
  <si>
    <t>$10,000 – $40,000</t>
  </si>
  <si>
    <t>$8,000 – $30,000</t>
  </si>
  <si>
    <t>$8,000 – $20,000</t>
  </si>
  <si>
    <t>$3,000 – $10,000</t>
  </si>
  <si>
    <t>$500 – $3,000</t>
  </si>
  <si>
    <t>$300 – $1,000</t>
  </si>
  <si>
    <t>1,000 – 4,000</t>
  </si>
  <si>
    <t>3–6</t>
  </si>
  <si>
    <t>Small UK team</t>
  </si>
  <si>
    <t>2.2/5 (34) — poor</t>
  </si>
  <si>
    <t>$500k–$2M</t>
  </si>
  <si>
    <t>$29 – $83</t>
  </si>
  <si>
    <t>~$20 – $58</t>
  </si>
  <si>
    <t>$5,000 – $15,000</t>
  </si>
  <si>
    <t>$2,000 – $8,000</t>
  </si>
  <si>
    <t>$300 – $2,000</t>
  </si>
  <si>
    <t>$200 – $800</t>
  </si>
  <si>
    <t>500 – 2,000+</t>
  </si>
  <si>
    <t>2–10</t>
  </si>
  <si>
    <t>Founder-led + contractors</t>
  </si>
  <si>
    <t>2.8/5 (19) — average</t>
  </si>
  <si>
    <t>$200k–$1M</t>
  </si>
  <si>
    <t>$15.99 – $29.99+</t>
  </si>
  <si>
    <t>Add-ons extra</t>
  </si>
  <si>
    <t>$15,000 – $40,000</t>
  </si>
  <si>
    <t>10,000 – 50,000+</t>
  </si>
  <si>
    <t>11–50</t>
  </si>
  <si>
    <t>Broader team; devs/support</t>
  </si>
  <si>
    <t>4.0/5 (10) — good</t>
  </si>
  <si>
    <t>$1M–$3M+</t>
  </si>
  <si>
    <t>$19.95 – $27.95</t>
  </si>
  <si>
    <t>~$16–$23</t>
  </si>
  <si>
    <t>$3,000 – $15,000</t>
  </si>
  <si>
    <t>5,000 – 20,000+</t>
  </si>
  <si>
    <t>4–11–50</t>
  </si>
  <si>
    <t>Small core</t>
  </si>
  <si>
    <t>$1M–$3M</t>
  </si>
  <si>
    <t>$29 – $187</t>
  </si>
  <si>
    <t>~$25 – $158</t>
  </si>
  <si>
    <t>$8,000 – $25,000</t>
  </si>
  <si>
    <t>$20,000 – $50,000</t>
  </si>
  <si>
    <t>$15,000 – $30,000</t>
  </si>
  <si>
    <t>1,000 – 5,000</t>
  </si>
  <si>
    <t>Growing team</t>
  </si>
  <si>
    <t>3.9/5 (36) — great</t>
  </si>
  <si>
    <t>$2.5M</t>
  </si>
  <si>
    <t>~$47</t>
  </si>
  <si>
    <t>~$39</t>
  </si>
  <si>
    <t>$200 – $1,000</t>
  </si>
  <si>
    <t>$100 – $500</t>
  </si>
  <si>
    <t>500 – 3,000</t>
  </si>
  <si>
    <t>1–5 est. + contractors</t>
  </si>
  <si>
    <t>Likely solo/small</t>
  </si>
  <si>
    <t>4.0/5 (9) — good</t>
  </si>
  <si>
    <t>$100k–$500k</t>
  </si>
  <si>
    <t>~$20–$60 est.</t>
  </si>
  <si>
    <t>N/A</t>
  </si>
  <si>
    <t>Limited data</t>
  </si>
  <si>
    <t>$0 – $249.99</t>
  </si>
  <si>
    <t>100 – 1,000</t>
  </si>
  <si>
    <t>2–5</t>
  </si>
  <si>
    <t>No Trustpilot; limited</t>
  </si>
  <si>
    <t>$79 – ~$175+</t>
  </si>
  <si>
    <t>~$49</t>
  </si>
  <si>
    <t>5–15 est.</t>
  </si>
  <si>
    <t>Small-mid; dropship focus</t>
  </si>
  <si>
    <t>Positive mentions</t>
  </si>
  <si>
    <t>~$58</t>
  </si>
  <si>
    <t>1–5 est.</t>
  </si>
  <si>
    <t>4.6/5 (19) — excellent</t>
  </si>
  <si>
    <t>$39.95 – $129.95</t>
  </si>
  <si>
    <t>~$33–$108</t>
  </si>
  <si>
    <t>5,000 – 15,000+</t>
  </si>
  <si>
    <t>Small-mid</t>
  </si>
  <si>
    <t>Chrome focus</t>
  </si>
  <si>
    <t>Chrome 4.2/5 (74); mixed</t>
  </si>
  <si>
    <t>$99.99/year (~$8.33/mo)</t>
  </si>
  <si>
    <t>Minimal team</t>
  </si>
  <si>
    <t>No Trustpilot; positive Reddit</t>
  </si>
  <si>
    <t>All estimates are approximate, based on industry benchmarks for small bootstrapped SaaS in data-heavy niches.</t>
  </si>
  <si>
    <t>Strategy Database</t>
  </si>
  <si>
    <t>Increase</t>
  </si>
  <si>
    <t>Conceptual Ideas &amp; Methodologies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</si>
</sst>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quot;$&quot;#,##0.00"/>
    <numFmt numFmtId="166" formatCode="0.0"/>
    <numFmt numFmtId="167" formatCode="mmm dd"/>
  </numFmts>
  <fonts count="13">
    <font>
      <sz val="10.0"/>
      <color rgb="FF000000"/>
      <name val="Arial"/>
      <scheme val="minor"/>
    </font>
    <font>
      <b/>
      <sz val="11.0"/>
      <color theme="1"/>
      <name val="Arial"/>
      <scheme val="minor"/>
    </font>
    <font>
      <b/>
      <color theme="1"/>
      <name val="Arial"/>
      <scheme val="minor"/>
    </font>
    <font>
      <color theme="1"/>
      <name val="Arial"/>
      <scheme val="minor"/>
    </font>
    <font>
      <u/>
      <color rgb="FF0000FF"/>
    </font>
    <font>
      <b/>
      <color rgb="FF6AA84F"/>
      <name val="Arial"/>
      <scheme val="minor"/>
    </font>
    <font>
      <b/>
      <color rgb="FFFF9900"/>
      <name val="Arial"/>
      <scheme val="minor"/>
    </font>
    <font>
      <color rgb="FFFF0000"/>
      <name val="Arial"/>
      <scheme val="minor"/>
    </font>
    <font>
      <b/>
      <color rgb="FF9900FF"/>
      <name val="Arial"/>
      <scheme val="minor"/>
    </font>
    <font>
      <b/>
      <color rgb="FFFF0000"/>
      <name val="Arial"/>
      <scheme val="minor"/>
    </font>
    <font>
      <b/>
      <color rgb="FFFF00FF"/>
      <name val="Arial"/>
      <scheme val="minor"/>
    </font>
    <font>
      <color rgb="FF0000FF"/>
    </font>
    <font>
      <i/>
      <color theme="1"/>
      <name val="Arial"/>
      <scheme val="mino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2" fontId="1" numFmtId="0" xfId="0" applyAlignment="1" applyFill="1" applyFont="1">
      <alignment readingOrder="0" shrinkToFit="0" wrapText="0"/>
    </xf>
    <xf borderId="0" fillId="0" fontId="1" numFmtId="0" xfId="0" applyAlignment="1" applyFont="1">
      <alignment shrinkToFit="0" wrapText="0"/>
    </xf>
    <xf borderId="0" fillId="0" fontId="2" numFmtId="0" xfId="0" applyAlignment="1" applyFont="1">
      <alignment horizontal="right" readingOrder="0"/>
    </xf>
    <xf borderId="0" fillId="2" fontId="2" numFmtId="164" xfId="0" applyAlignment="1" applyFont="1" applyNumberFormat="1">
      <alignment horizontal="right" readingOrder="0"/>
    </xf>
    <xf borderId="0" fillId="0" fontId="2" numFmtId="164" xfId="0" applyAlignment="1" applyFont="1" applyNumberFormat="1">
      <alignment horizontal="righ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2" fontId="3" numFmtId="165" xfId="0" applyAlignment="1" applyFont="1" applyNumberFormat="1">
      <alignment readingOrder="0"/>
    </xf>
    <xf borderId="0" fillId="0" fontId="3" numFmtId="165" xfId="0" applyAlignment="1" applyFont="1" applyNumberFormat="1">
      <alignment readingOrder="0"/>
    </xf>
    <xf borderId="0" fillId="2" fontId="5" numFmtId="164" xfId="0" applyFont="1" applyNumberFormat="1"/>
    <xf borderId="0" fillId="0" fontId="5" numFmtId="164" xfId="0" applyFont="1" applyNumberFormat="1"/>
    <xf borderId="0" fillId="2" fontId="3" numFmtId="164" xfId="0" applyAlignment="1" applyFont="1" applyNumberFormat="1">
      <alignment readingOrder="0"/>
    </xf>
    <xf borderId="0" fillId="0" fontId="3" numFmtId="164" xfId="0" applyAlignment="1" applyFont="1" applyNumberFormat="1">
      <alignment readingOrder="0"/>
    </xf>
    <xf borderId="0" fillId="2" fontId="3" numFmtId="3" xfId="0" applyAlignment="1" applyFont="1" applyNumberFormat="1">
      <alignment readingOrder="0"/>
    </xf>
    <xf borderId="0" fillId="0" fontId="3" numFmtId="3" xfId="0" applyAlignment="1" applyFont="1" applyNumberFormat="1">
      <alignment readingOrder="0"/>
    </xf>
    <xf borderId="0" fillId="2" fontId="3" numFmtId="0" xfId="0" applyAlignment="1" applyFont="1">
      <alignment readingOrder="0"/>
    </xf>
    <xf borderId="0" fillId="0" fontId="5" numFmtId="165" xfId="0" applyFont="1" applyNumberFormat="1"/>
    <xf borderId="0" fillId="0" fontId="3" numFmtId="165" xfId="0" applyFont="1" applyNumberFormat="1"/>
    <xf borderId="0" fillId="0" fontId="3" numFmtId="164" xfId="0" applyFont="1" applyNumberFormat="1"/>
    <xf borderId="0" fillId="2" fontId="6" numFmtId="165" xfId="0" applyFont="1" applyNumberFormat="1"/>
    <xf borderId="0" fillId="2" fontId="5" numFmtId="165" xfId="0" applyFont="1" applyNumberFormat="1"/>
    <xf borderId="0" fillId="0" fontId="6" numFmtId="0" xfId="0" applyFont="1"/>
    <xf borderId="0" fillId="0" fontId="7" numFmtId="165" xfId="0" applyFont="1" applyNumberFormat="1"/>
    <xf borderId="0" fillId="0" fontId="7" numFmtId="0" xfId="0" applyAlignment="1" applyFont="1">
      <alignment readingOrder="0"/>
    </xf>
    <xf borderId="0" fillId="2" fontId="5" numFmtId="3" xfId="0" applyFont="1" applyNumberFormat="1"/>
    <xf borderId="0" fillId="0" fontId="5" numFmtId="3" xfId="0" applyFont="1" applyNumberFormat="1"/>
    <xf borderId="0" fillId="0" fontId="6" numFmtId="165" xfId="0" applyFont="1" applyNumberFormat="1"/>
    <xf borderId="0" fillId="2" fontId="6" numFmtId="164" xfId="0" applyFont="1" applyNumberFormat="1"/>
    <xf borderId="0" fillId="0" fontId="6" numFmtId="164" xfId="0" applyFont="1" applyNumberFormat="1"/>
    <xf borderId="0" fillId="2" fontId="6" numFmtId="3" xfId="0" applyFont="1" applyNumberFormat="1"/>
    <xf borderId="0" fillId="0" fontId="6" numFmtId="3" xfId="0" applyFont="1" applyNumberFormat="1"/>
    <xf borderId="0" fillId="0" fontId="7" numFmtId="0" xfId="0" applyFont="1"/>
    <xf borderId="0" fillId="0" fontId="5" numFmtId="0" xfId="0" applyFont="1"/>
    <xf borderId="0" fillId="0" fontId="8" numFmtId="0" xfId="0" applyAlignment="1" applyFont="1">
      <alignment readingOrder="0"/>
    </xf>
    <xf borderId="0" fillId="0" fontId="8" numFmtId="0" xfId="0" applyFont="1"/>
    <xf borderId="0" fillId="2" fontId="8" numFmtId="165" xfId="0" applyFont="1" applyNumberFormat="1"/>
    <xf borderId="0" fillId="0" fontId="8" numFmtId="165" xfId="0" applyFont="1" applyNumberFormat="1"/>
    <xf borderId="0" fillId="2" fontId="8" numFmtId="164" xfId="0" applyFont="1" applyNumberFormat="1"/>
    <xf borderId="0" fillId="0" fontId="8" numFmtId="164" xfId="0" applyFont="1" applyNumberFormat="1"/>
    <xf borderId="0" fillId="2" fontId="8" numFmtId="3" xfId="0" applyFont="1" applyNumberFormat="1"/>
    <xf borderId="0" fillId="0" fontId="8" numFmtId="3" xfId="0" applyFont="1" applyNumberFormat="1"/>
    <xf borderId="0" fillId="0" fontId="8" numFmtId="166" xfId="0" applyFont="1" applyNumberFormat="1"/>
    <xf borderId="0" fillId="0" fontId="6" numFmtId="0" xfId="0" applyAlignment="1" applyFont="1">
      <alignment readingOrder="0"/>
    </xf>
    <xf borderId="0" fillId="0" fontId="6" numFmtId="0" xfId="0" applyFont="1"/>
    <xf borderId="0" fillId="0" fontId="5" numFmtId="0" xfId="0" applyAlignment="1" applyFont="1">
      <alignment readingOrder="0"/>
    </xf>
    <xf borderId="0" fillId="0" fontId="5" numFmtId="0" xfId="0" applyFont="1"/>
    <xf borderId="0" fillId="0" fontId="9" numFmtId="0" xfId="0" applyAlignment="1" applyFont="1">
      <alignment readingOrder="0"/>
    </xf>
    <xf borderId="0" fillId="0" fontId="9" numFmtId="0" xfId="0" applyFont="1"/>
    <xf borderId="0" fillId="2" fontId="9" numFmtId="165" xfId="0" applyFont="1" applyNumberFormat="1"/>
    <xf borderId="0" fillId="0" fontId="9" numFmtId="165" xfId="0" applyFont="1" applyNumberFormat="1"/>
    <xf borderId="0" fillId="2" fontId="9" numFmtId="164" xfId="0" applyFont="1" applyNumberFormat="1"/>
    <xf borderId="0" fillId="0" fontId="9" numFmtId="164" xfId="0" applyFont="1" applyNumberFormat="1"/>
    <xf borderId="0" fillId="2" fontId="9" numFmtId="0" xfId="0" applyFont="1"/>
    <xf borderId="0" fillId="0" fontId="10" numFmtId="0" xfId="0" applyAlignment="1" applyFont="1">
      <alignment readingOrder="0"/>
    </xf>
    <xf borderId="0" fillId="0" fontId="10" numFmtId="0" xfId="0" applyFont="1"/>
    <xf borderId="0" fillId="2" fontId="10" numFmtId="165" xfId="0" applyFont="1" applyNumberFormat="1"/>
    <xf borderId="0" fillId="2" fontId="10" numFmtId="164" xfId="0" applyFont="1" applyNumberFormat="1"/>
    <xf borderId="0" fillId="0" fontId="10" numFmtId="164" xfId="0" applyFont="1" applyNumberFormat="1"/>
    <xf borderId="0" fillId="2" fontId="10" numFmtId="3" xfId="0" applyFont="1" applyNumberFormat="1"/>
    <xf borderId="0" fillId="2" fontId="10" numFmtId="0" xfId="0" applyFont="1"/>
    <xf borderId="0" fillId="0" fontId="10" numFmtId="165" xfId="0" applyFont="1" applyNumberFormat="1"/>
    <xf borderId="0" fillId="0" fontId="10" numFmtId="10" xfId="0" applyFont="1" applyNumberFormat="1"/>
    <xf borderId="0" fillId="2" fontId="2" numFmtId="0" xfId="0" applyAlignment="1" applyFont="1">
      <alignment horizontal="right" readingOrder="0" vertical="top"/>
    </xf>
    <xf borderId="0" fillId="2" fontId="3" numFmtId="0" xfId="0" applyFont="1"/>
    <xf borderId="0" fillId="0" fontId="3" numFmtId="0" xfId="0" applyAlignment="1" applyFont="1">
      <alignment horizontal="right"/>
    </xf>
    <xf borderId="0" fillId="0" fontId="3" numFmtId="0" xfId="0" applyAlignment="1" applyFont="1">
      <alignment readingOrder="0" shrinkToFit="0" wrapText="1"/>
    </xf>
    <xf borderId="0" fillId="0" fontId="3" numFmtId="0" xfId="0" applyAlignment="1" applyFont="1">
      <alignment shrinkToFit="0" wrapText="1"/>
    </xf>
    <xf borderId="0" fillId="0" fontId="11" numFmtId="0" xfId="0" applyAlignment="1" applyFont="1">
      <alignment readingOrder="0" shrinkToFit="0" wrapText="1"/>
    </xf>
    <xf borderId="0" fillId="0" fontId="3" numFmtId="164" xfId="0" applyAlignment="1" applyFont="1" applyNumberFormat="1">
      <alignment readingOrder="0" shrinkToFit="0" wrapText="1"/>
    </xf>
    <xf borderId="0" fillId="0" fontId="3" numFmtId="164" xfId="0" applyAlignment="1" applyFont="1" applyNumberFormat="1">
      <alignment readingOrder="0"/>
    </xf>
    <xf borderId="0" fillId="0" fontId="12" numFmtId="0" xfId="0" applyAlignment="1" applyFont="1">
      <alignment readingOrder="0"/>
    </xf>
    <xf borderId="0" fillId="0" fontId="12" numFmtId="0" xfId="0" applyFont="1"/>
    <xf borderId="0" fillId="0" fontId="3" numFmtId="165" xfId="0" applyAlignment="1" applyFont="1" applyNumberFormat="1">
      <alignment readingOrder="0"/>
    </xf>
    <xf borderId="0" fillId="0" fontId="3" numFmtId="3" xfId="0" applyAlignment="1" applyFont="1" applyNumberFormat="1">
      <alignment readingOrder="0"/>
    </xf>
    <xf borderId="0" fillId="0" fontId="2" numFmtId="0" xfId="0" applyAlignment="1" applyFont="1">
      <alignment readingOrder="0" shrinkToFit="0" wrapText="1"/>
    </xf>
    <xf borderId="0" fillId="0" fontId="3" numFmtId="167" xfId="0" applyAlignment="1" applyFont="1" applyNumberFormat="1">
      <alignment readingOrder="0"/>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uybotpro.com" TargetMode="External"/><Relationship Id="rId10" Type="http://schemas.openxmlformats.org/officeDocument/2006/relationships/hyperlink" Target="http://arbisource.com" TargetMode="External"/><Relationship Id="rId13" Type="http://schemas.openxmlformats.org/officeDocument/2006/relationships/hyperlink" Target="http://competitive_advantages_assessment.md/" TargetMode="External"/><Relationship Id="rId12" Type="http://schemas.openxmlformats.org/officeDocument/2006/relationships/hyperlink" Target="http://revseller.com" TargetMode="External"/><Relationship Id="rId1" Type="http://schemas.openxmlformats.org/officeDocument/2006/relationships/hyperlink" Target="http://tacticalarbitrage.com" TargetMode="External"/><Relationship Id="rId2" Type="http://schemas.openxmlformats.org/officeDocument/2006/relationships/hyperlink" Target="http://sourcemogul.com" TargetMode="External"/><Relationship Id="rId3" Type="http://schemas.openxmlformats.org/officeDocument/2006/relationships/hyperlink" Target="http://nepeto.com" TargetMode="External"/><Relationship Id="rId4" Type="http://schemas.openxmlformats.org/officeDocument/2006/relationships/hyperlink" Target="http://selleramp.com" TargetMode="External"/><Relationship Id="rId9" Type="http://schemas.openxmlformats.org/officeDocument/2006/relationships/hyperlink" Target="http://oagenius.com" TargetMode="External"/><Relationship Id="rId14" Type="http://schemas.openxmlformats.org/officeDocument/2006/relationships/drawing" Target="../drawings/drawing1.xml"/><Relationship Id="rId5" Type="http://schemas.openxmlformats.org/officeDocument/2006/relationships/hyperlink" Target="http://smartscout.com" TargetMode="External"/><Relationship Id="rId6" Type="http://schemas.openxmlformats.org/officeDocument/2006/relationships/hyperlink" Target="http://arbitragehero.com" TargetMode="External"/><Relationship Id="rId7" Type="http://schemas.openxmlformats.org/officeDocument/2006/relationships/hyperlink" Target="http://arbitragecyclops.com" TargetMode="External"/><Relationship Id="rId8" Type="http://schemas.openxmlformats.org/officeDocument/2006/relationships/hyperlink" Target="http://bookmine.c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buybotpro.com" TargetMode="External"/><Relationship Id="rId10" Type="http://schemas.openxmlformats.org/officeDocument/2006/relationships/hyperlink" Target="http://arbisource.com" TargetMode="External"/><Relationship Id="rId13" Type="http://schemas.openxmlformats.org/officeDocument/2006/relationships/drawing" Target="../drawings/drawing3.xml"/><Relationship Id="rId12" Type="http://schemas.openxmlformats.org/officeDocument/2006/relationships/hyperlink" Target="http://revseller.com" TargetMode="External"/><Relationship Id="rId1" Type="http://schemas.openxmlformats.org/officeDocument/2006/relationships/hyperlink" Target="http://tacticalarbitrage.com" TargetMode="External"/><Relationship Id="rId2" Type="http://schemas.openxmlformats.org/officeDocument/2006/relationships/hyperlink" Target="http://sourcemogul.com" TargetMode="External"/><Relationship Id="rId3" Type="http://schemas.openxmlformats.org/officeDocument/2006/relationships/hyperlink" Target="http://nepeto.com" TargetMode="External"/><Relationship Id="rId4" Type="http://schemas.openxmlformats.org/officeDocument/2006/relationships/hyperlink" Target="http://selleramp.com" TargetMode="External"/><Relationship Id="rId9" Type="http://schemas.openxmlformats.org/officeDocument/2006/relationships/hyperlink" Target="http://oagenius.com" TargetMode="External"/><Relationship Id="rId5" Type="http://schemas.openxmlformats.org/officeDocument/2006/relationships/hyperlink" Target="http://smartscout.com" TargetMode="External"/><Relationship Id="rId6" Type="http://schemas.openxmlformats.org/officeDocument/2006/relationships/hyperlink" Target="http://arbitragehero.com" TargetMode="External"/><Relationship Id="rId7" Type="http://schemas.openxmlformats.org/officeDocument/2006/relationships/hyperlink" Target="http://arbitragecyclops.com" TargetMode="External"/><Relationship Id="rId8" Type="http://schemas.openxmlformats.org/officeDocument/2006/relationships/hyperlink" Target="http://bookmine.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6.75"/>
    <col customWidth="1" min="3" max="4" width="12.13"/>
    <col customWidth="1" min="5" max="5" width="10.25"/>
    <col customWidth="1" min="6" max="23" width="12.13"/>
    <col customWidth="1" min="24" max="24" width="11.25"/>
    <col customWidth="1" min="25" max="25" width="12.25"/>
    <col customWidth="1" min="26" max="26" width="9.5"/>
    <col customWidth="1" min="27" max="27" width="8.88"/>
    <col customWidth="1" min="28" max="29" width="9.88"/>
    <col customWidth="1" min="30" max="30" width="44.5"/>
    <col customWidth="1" min="31" max="31" width="7.25"/>
    <col customWidth="1" min="32" max="32" width="10.5"/>
    <col customWidth="1" min="33" max="33" width="53.5"/>
    <col customWidth="1" min="34" max="34" width="12.0"/>
    <col customWidth="1" min="35" max="35" width="12.75"/>
    <col customWidth="1" min="36" max="36" width="5.13"/>
    <col customWidth="1" min="38" max="38" width="12.88"/>
    <col customWidth="1" min="39" max="39" width="9.13"/>
    <col customWidth="1" min="40" max="40" width="7.13"/>
    <col customWidth="1" min="41" max="41" width="7.38"/>
    <col customWidth="1" min="42" max="42" width="7.0"/>
    <col customWidth="1" min="43" max="43" width="9.88"/>
    <col customWidth="1" min="45" max="45" width="15.75"/>
    <col customWidth="1" min="46" max="46" width="32.5"/>
    <col customWidth="1" min="47" max="47" width="7.38"/>
  </cols>
  <sheetData>
    <row r="1" ht="29.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c r="AJ1" s="2"/>
      <c r="AK1" s="1"/>
      <c r="AL1" s="2"/>
      <c r="AM1" s="2"/>
      <c r="AN1" s="2"/>
      <c r="AO1" s="2"/>
      <c r="AP1" s="2"/>
      <c r="AQ1" s="2"/>
      <c r="AR1" s="2"/>
      <c r="AS1" s="2"/>
      <c r="AT1" s="2"/>
      <c r="AU1" s="2"/>
      <c r="AV1" s="2"/>
      <c r="AW1" s="2"/>
      <c r="AX1" s="2"/>
      <c r="AY1" s="2"/>
    </row>
    <row r="2" ht="63.75" customHeight="1">
      <c r="A2" s="3" t="s">
        <v>0</v>
      </c>
      <c r="B2" s="3" t="s">
        <v>1</v>
      </c>
      <c r="C2" s="4" t="s">
        <v>2</v>
      </c>
      <c r="D2" s="3"/>
      <c r="E2" s="3"/>
      <c r="F2" s="4" t="s">
        <v>3</v>
      </c>
      <c r="G2" s="3"/>
      <c r="H2" s="4" t="s">
        <v>4</v>
      </c>
      <c r="I2" s="3"/>
      <c r="J2" s="4" t="s">
        <v>5</v>
      </c>
      <c r="K2" s="3"/>
      <c r="L2" s="4" t="s">
        <v>6</v>
      </c>
      <c r="M2" s="3"/>
      <c r="N2" s="4" t="s">
        <v>7</v>
      </c>
      <c r="O2" s="3"/>
      <c r="P2" s="4" t="s">
        <v>8</v>
      </c>
      <c r="Q2" s="3"/>
      <c r="R2" s="4" t="s">
        <v>9</v>
      </c>
      <c r="S2" s="3"/>
      <c r="T2" s="4" t="s">
        <v>10</v>
      </c>
      <c r="U2" s="3"/>
      <c r="V2" s="4" t="s">
        <v>11</v>
      </c>
      <c r="W2" s="3"/>
      <c r="X2" s="4" t="s">
        <v>12</v>
      </c>
      <c r="Y2" s="3"/>
      <c r="Z2" s="4" t="s">
        <v>13</v>
      </c>
      <c r="AA2" s="3"/>
      <c r="AB2" s="4" t="s">
        <v>14</v>
      </c>
      <c r="AC2" s="3"/>
      <c r="AD2" s="3" t="s">
        <v>15</v>
      </c>
      <c r="AE2" s="3" t="s">
        <v>16</v>
      </c>
      <c r="AF2" s="3"/>
      <c r="AG2" s="3"/>
      <c r="AH2" s="3" t="s">
        <v>17</v>
      </c>
      <c r="AI2" s="5"/>
      <c r="AJ2" s="5"/>
      <c r="AK2" s="3" t="s">
        <v>18</v>
      </c>
      <c r="AL2" s="5"/>
      <c r="AM2" s="3" t="s">
        <v>19</v>
      </c>
      <c r="AN2" s="5"/>
      <c r="AO2" s="3" t="s">
        <v>20</v>
      </c>
      <c r="AP2" s="5"/>
      <c r="AQ2" s="5"/>
      <c r="AR2" s="5"/>
      <c r="AS2" s="5"/>
      <c r="AT2" s="5"/>
      <c r="AU2" s="5"/>
      <c r="AV2" s="5"/>
      <c r="AW2" s="5"/>
      <c r="AX2" s="5"/>
      <c r="AY2" s="5"/>
    </row>
    <row r="3">
      <c r="A3" s="6"/>
      <c r="B3" s="6"/>
      <c r="C3" s="7" t="s">
        <v>21</v>
      </c>
      <c r="D3" s="8" t="s">
        <v>22</v>
      </c>
      <c r="E3" s="6" t="s">
        <v>23</v>
      </c>
      <c r="F3" s="7" t="s">
        <v>21</v>
      </c>
      <c r="G3" s="8" t="s">
        <v>22</v>
      </c>
      <c r="H3" s="7" t="s">
        <v>21</v>
      </c>
      <c r="I3" s="8" t="s">
        <v>22</v>
      </c>
      <c r="J3" s="7" t="s">
        <v>21</v>
      </c>
      <c r="K3" s="8" t="s">
        <v>22</v>
      </c>
      <c r="L3" s="7" t="s">
        <v>21</v>
      </c>
      <c r="M3" s="8" t="s">
        <v>22</v>
      </c>
      <c r="N3" s="7" t="s">
        <v>21</v>
      </c>
      <c r="O3" s="8" t="s">
        <v>22</v>
      </c>
      <c r="P3" s="7" t="s">
        <v>21</v>
      </c>
      <c r="Q3" s="8" t="s">
        <v>22</v>
      </c>
      <c r="R3" s="7" t="s">
        <v>21</v>
      </c>
      <c r="S3" s="8" t="s">
        <v>22</v>
      </c>
      <c r="T3" s="7" t="s">
        <v>21</v>
      </c>
      <c r="U3" s="8" t="s">
        <v>22</v>
      </c>
      <c r="V3" s="7" t="s">
        <v>21</v>
      </c>
      <c r="W3" s="8" t="s">
        <v>22</v>
      </c>
      <c r="X3" s="7" t="s">
        <v>21</v>
      </c>
      <c r="Y3" s="8" t="s">
        <v>22</v>
      </c>
      <c r="Z3" s="7" t="s">
        <v>21</v>
      </c>
      <c r="AA3" s="8" t="s">
        <v>22</v>
      </c>
      <c r="AB3" s="7" t="s">
        <v>21</v>
      </c>
      <c r="AC3" s="8" t="s">
        <v>22</v>
      </c>
      <c r="AD3" s="6"/>
      <c r="AE3" s="9" t="s">
        <v>24</v>
      </c>
      <c r="AF3" s="9" t="s">
        <v>25</v>
      </c>
      <c r="AG3" s="9" t="s">
        <v>26</v>
      </c>
      <c r="AH3" s="10" t="s">
        <v>21</v>
      </c>
      <c r="AI3" s="10" t="s">
        <v>22</v>
      </c>
      <c r="AJ3" s="11"/>
      <c r="AK3" s="10" t="s">
        <v>21</v>
      </c>
      <c r="AL3" s="10" t="s">
        <v>22</v>
      </c>
      <c r="AM3" s="10" t="s">
        <v>21</v>
      </c>
      <c r="AN3" s="10" t="s">
        <v>22</v>
      </c>
      <c r="AO3" s="10" t="s">
        <v>21</v>
      </c>
      <c r="AP3" s="10" t="s">
        <v>22</v>
      </c>
      <c r="AQ3" s="9" t="s">
        <v>27</v>
      </c>
      <c r="AR3" s="11"/>
      <c r="AS3" s="11"/>
      <c r="AT3" s="11"/>
      <c r="AU3" s="11"/>
      <c r="AV3" s="11"/>
      <c r="AW3" s="11"/>
      <c r="AX3" s="11"/>
      <c r="AY3" s="11"/>
    </row>
    <row r="4">
      <c r="A4" s="12" t="s">
        <v>28</v>
      </c>
      <c r="B4" s="13" t="s">
        <v>29</v>
      </c>
      <c r="C4" s="14">
        <v>59.0</v>
      </c>
      <c r="D4" s="15">
        <v>159.0</v>
      </c>
      <c r="E4" s="15"/>
      <c r="F4" s="14">
        <v>39.0</v>
      </c>
      <c r="G4" s="15">
        <v>124.0</v>
      </c>
      <c r="H4" s="16">
        <v>20000.0</v>
      </c>
      <c r="I4" s="17">
        <v>60000.0</v>
      </c>
      <c r="J4" s="18">
        <v>10000.0</v>
      </c>
      <c r="K4" s="17">
        <v>50000.0</v>
      </c>
      <c r="L4" s="16">
        <v>10000.0</v>
      </c>
      <c r="M4" s="17">
        <v>40000.0</v>
      </c>
      <c r="N4" s="18">
        <v>10000.0</v>
      </c>
      <c r="O4" s="19">
        <v>30000.0</v>
      </c>
      <c r="P4" s="18">
        <v>5000.0</v>
      </c>
      <c r="Q4" s="19">
        <v>20000.0</v>
      </c>
      <c r="R4" s="18">
        <v>2000.0</v>
      </c>
      <c r="S4" s="19">
        <v>10000.0</v>
      </c>
      <c r="T4" s="18">
        <v>1000.0</v>
      </c>
      <c r="U4" s="19">
        <v>5000.0</v>
      </c>
      <c r="V4" s="16">
        <v>1000.0</v>
      </c>
      <c r="W4" s="17">
        <v>5000.0</v>
      </c>
      <c r="X4" s="18">
        <v>500.0</v>
      </c>
      <c r="Y4" s="19">
        <v>2000.0</v>
      </c>
      <c r="Z4" s="20">
        <v>2000.0</v>
      </c>
      <c r="AA4" s="21">
        <v>8000.0</v>
      </c>
      <c r="AB4" s="22">
        <v>2.0</v>
      </c>
      <c r="AC4" s="12"/>
      <c r="AD4" s="12" t="s">
        <v>30</v>
      </c>
      <c r="AE4" s="12">
        <v>2.8</v>
      </c>
      <c r="AF4" s="12" t="s">
        <v>31</v>
      </c>
      <c r="AG4" s="12" t="s">
        <v>32</v>
      </c>
      <c r="AH4" s="15">
        <v>1000000.0</v>
      </c>
      <c r="AI4" s="23">
        <v>5000000.0</v>
      </c>
      <c r="AJ4" s="12" t="s">
        <v>33</v>
      </c>
      <c r="AK4" s="24">
        <f t="shared" ref="AK4:AL4" si="1">AH4-H4-J4-L4-N4-P4-R4-T4-V4-X4</f>
        <v>940500</v>
      </c>
      <c r="AL4" s="23">
        <f t="shared" si="1"/>
        <v>4778000</v>
      </c>
      <c r="AM4" s="25">
        <f t="shared" ref="AM4:AN4" si="2">H4/Z4</f>
        <v>10</v>
      </c>
      <c r="AN4" s="25">
        <f t="shared" si="2"/>
        <v>7.5</v>
      </c>
      <c r="AO4" s="24">
        <f t="shared" ref="AO4:AP4" si="3">C4-AM4</f>
        <v>49</v>
      </c>
      <c r="AP4" s="24">
        <f t="shared" si="3"/>
        <v>151.5</v>
      </c>
    </row>
    <row r="5">
      <c r="A5" s="12" t="s">
        <v>34</v>
      </c>
      <c r="B5" s="13" t="s">
        <v>35</v>
      </c>
      <c r="C5" s="26">
        <v>0.0</v>
      </c>
      <c r="D5" s="15">
        <v>97.0</v>
      </c>
      <c r="E5" s="15">
        <v>67.0</v>
      </c>
      <c r="F5" s="27">
        <v>73.0</v>
      </c>
      <c r="G5" s="15"/>
      <c r="H5" s="18">
        <v>10000.0</v>
      </c>
      <c r="I5" s="19">
        <v>40000.0</v>
      </c>
      <c r="J5" s="18">
        <v>5000.0</v>
      </c>
      <c r="K5" s="19">
        <v>20000.0</v>
      </c>
      <c r="L5" s="18">
        <v>8000.0</v>
      </c>
      <c r="M5" s="19">
        <v>30000.0</v>
      </c>
      <c r="N5" s="18">
        <v>8000.0</v>
      </c>
      <c r="O5" s="19">
        <v>20000.0</v>
      </c>
      <c r="P5" s="18">
        <v>3000.0</v>
      </c>
      <c r="Q5" s="19">
        <v>10000.0</v>
      </c>
      <c r="R5" s="18">
        <v>1000.0</v>
      </c>
      <c r="S5" s="19">
        <v>5000.0</v>
      </c>
      <c r="T5" s="18">
        <v>500.0</v>
      </c>
      <c r="U5" s="19">
        <v>3000.0</v>
      </c>
      <c r="V5" s="18">
        <v>500.0</v>
      </c>
      <c r="W5" s="19">
        <v>3000.0</v>
      </c>
      <c r="X5" s="18">
        <v>300.0</v>
      </c>
      <c r="Y5" s="19">
        <v>1000.0</v>
      </c>
      <c r="Z5" s="20">
        <v>1000.0</v>
      </c>
      <c r="AA5" s="21">
        <v>4000.0</v>
      </c>
      <c r="AB5" s="22">
        <v>3.0</v>
      </c>
      <c r="AC5" s="12">
        <v>6.0</v>
      </c>
      <c r="AD5" s="12" t="s">
        <v>36</v>
      </c>
      <c r="AE5" s="28">
        <v>2.2</v>
      </c>
      <c r="AF5" s="12" t="s">
        <v>37</v>
      </c>
      <c r="AG5" s="12" t="s">
        <v>38</v>
      </c>
      <c r="AH5" s="15">
        <v>500000.0</v>
      </c>
      <c r="AI5" s="15">
        <v>2000000.0</v>
      </c>
      <c r="AK5" s="24">
        <f t="shared" ref="AK5:AL5" si="4">AH5-H5-J5-L5-N5-P5-R5-T5-V5-X5</f>
        <v>463700</v>
      </c>
      <c r="AL5" s="24">
        <f t="shared" si="4"/>
        <v>1868000</v>
      </c>
      <c r="AM5" s="25">
        <f t="shared" ref="AM5:AN5" si="5">H5/Z5</f>
        <v>10</v>
      </c>
      <c r="AN5" s="25">
        <f t="shared" si="5"/>
        <v>10</v>
      </c>
      <c r="AO5" s="29">
        <f t="shared" ref="AO5:AP5" si="6">C5-AM5</f>
        <v>-10</v>
      </c>
      <c r="AP5" s="24">
        <f t="shared" si="6"/>
        <v>87</v>
      </c>
      <c r="AQ5" s="30" t="s">
        <v>39</v>
      </c>
    </row>
    <row r="6">
      <c r="A6" s="12" t="s">
        <v>40</v>
      </c>
      <c r="B6" s="13" t="s">
        <v>41</v>
      </c>
      <c r="C6" s="14">
        <v>29.0</v>
      </c>
      <c r="D6" s="15">
        <v>83.0</v>
      </c>
      <c r="E6" s="15"/>
      <c r="F6" s="14">
        <v>20.0</v>
      </c>
      <c r="G6" s="15">
        <v>58.0</v>
      </c>
      <c r="H6" s="18">
        <v>8000.0</v>
      </c>
      <c r="I6" s="19">
        <v>30000.0</v>
      </c>
      <c r="J6" s="18">
        <v>2000.0</v>
      </c>
      <c r="K6" s="19">
        <v>10000.0</v>
      </c>
      <c r="L6" s="18">
        <v>5000.0</v>
      </c>
      <c r="M6" s="19">
        <v>20000.0</v>
      </c>
      <c r="N6" s="18">
        <v>5000.0</v>
      </c>
      <c r="O6" s="19">
        <v>15000.0</v>
      </c>
      <c r="P6" s="18">
        <v>2000.0</v>
      </c>
      <c r="Q6" s="19">
        <v>8000.0</v>
      </c>
      <c r="R6" s="18">
        <v>500.0</v>
      </c>
      <c r="S6" s="19">
        <v>3000.0</v>
      </c>
      <c r="T6" s="18">
        <v>300.0</v>
      </c>
      <c r="U6" s="19">
        <v>2000.0</v>
      </c>
      <c r="V6" s="18">
        <v>300.0</v>
      </c>
      <c r="W6" s="19">
        <v>2000.0</v>
      </c>
      <c r="X6" s="18">
        <v>200.0</v>
      </c>
      <c r="Y6" s="19">
        <v>800.0</v>
      </c>
      <c r="Z6" s="22">
        <v>500.0</v>
      </c>
      <c r="AA6" s="21">
        <v>2000.0</v>
      </c>
      <c r="AB6" s="22">
        <v>2.0</v>
      </c>
      <c r="AC6" s="12">
        <v>10.0</v>
      </c>
      <c r="AD6" s="12" t="s">
        <v>42</v>
      </c>
      <c r="AE6" s="12">
        <v>2.8</v>
      </c>
      <c r="AF6" s="12" t="s">
        <v>43</v>
      </c>
      <c r="AG6" s="12" t="s">
        <v>44</v>
      </c>
      <c r="AH6" s="15">
        <v>200000.0</v>
      </c>
      <c r="AI6" s="15">
        <v>1000000.0</v>
      </c>
      <c r="AK6" s="24">
        <f t="shared" ref="AK6:AL6" si="7">AH6-H6-J6-L6-N6-P6-R6-T6-V6-X6</f>
        <v>176700</v>
      </c>
      <c r="AL6" s="24">
        <f t="shared" si="7"/>
        <v>909200</v>
      </c>
      <c r="AM6" s="25">
        <f t="shared" ref="AM6:AN6" si="8">H6/Z6</f>
        <v>16</v>
      </c>
      <c r="AN6" s="23">
        <f t="shared" si="8"/>
        <v>15</v>
      </c>
      <c r="AO6" s="24">
        <f t="shared" ref="AO6:AP6" si="9">C6-AM6</f>
        <v>13</v>
      </c>
      <c r="AP6" s="24">
        <f t="shared" si="9"/>
        <v>68</v>
      </c>
    </row>
    <row r="7">
      <c r="A7" s="12" t="s">
        <v>45</v>
      </c>
      <c r="B7" s="12" t="s">
        <v>46</v>
      </c>
      <c r="C7" s="14">
        <v>15.99</v>
      </c>
      <c r="D7" s="15">
        <v>29.99</v>
      </c>
      <c r="E7" s="15">
        <v>399.0</v>
      </c>
      <c r="F7" s="14"/>
      <c r="G7" s="15"/>
      <c r="H7" s="18">
        <v>5000.0</v>
      </c>
      <c r="I7" s="19">
        <v>20000.0</v>
      </c>
      <c r="J7" s="18">
        <v>8000.0</v>
      </c>
      <c r="K7" s="19">
        <v>30000.0</v>
      </c>
      <c r="L7" s="18">
        <v>5000.0</v>
      </c>
      <c r="M7" s="19">
        <v>20000.0</v>
      </c>
      <c r="N7" s="18">
        <v>5000.0</v>
      </c>
      <c r="O7" s="19">
        <v>15000.0</v>
      </c>
      <c r="P7" s="16">
        <v>15000.0</v>
      </c>
      <c r="Q7" s="17">
        <v>40000.0</v>
      </c>
      <c r="R7" s="16">
        <v>5000.0</v>
      </c>
      <c r="S7" s="17">
        <v>15000.0</v>
      </c>
      <c r="T7" s="16">
        <v>2000.0</v>
      </c>
      <c r="U7" s="17">
        <v>8000.0</v>
      </c>
      <c r="V7" s="18">
        <v>1000.0</v>
      </c>
      <c r="W7" s="19">
        <v>5000.0</v>
      </c>
      <c r="X7" s="16">
        <v>1000.0</v>
      </c>
      <c r="Y7" s="17">
        <v>5000.0</v>
      </c>
      <c r="Z7" s="31">
        <v>10000.0</v>
      </c>
      <c r="AA7" s="32">
        <v>50000.0</v>
      </c>
      <c r="AB7" s="22">
        <v>11.0</v>
      </c>
      <c r="AC7" s="32">
        <v>50.0</v>
      </c>
      <c r="AD7" s="12" t="s">
        <v>47</v>
      </c>
      <c r="AE7" s="12">
        <v>4.0</v>
      </c>
      <c r="AF7" s="12" t="s">
        <v>48</v>
      </c>
      <c r="AG7" s="12" t="s">
        <v>49</v>
      </c>
      <c r="AH7" s="15">
        <v>1000000.0</v>
      </c>
      <c r="AI7" s="15">
        <v>3000000.0</v>
      </c>
      <c r="AJ7" s="12" t="s">
        <v>33</v>
      </c>
      <c r="AK7" s="24">
        <f t="shared" ref="AK7:AL7" si="10">AH7-H7-J7-L7-N7-P7-R7-T7-V7-X7</f>
        <v>953000</v>
      </c>
      <c r="AL7" s="24">
        <f t="shared" si="10"/>
        <v>2842000</v>
      </c>
      <c r="AM7" s="25">
        <f t="shared" ref="AM7:AN7" si="11">H7/Z7</f>
        <v>0.5</v>
      </c>
      <c r="AN7" s="25">
        <f t="shared" si="11"/>
        <v>0.4</v>
      </c>
      <c r="AO7" s="24">
        <f t="shared" ref="AO7:AP7" si="12">C7-AM7</f>
        <v>15.49</v>
      </c>
      <c r="AP7" s="24">
        <f t="shared" si="12"/>
        <v>29.59</v>
      </c>
    </row>
    <row r="8">
      <c r="A8" s="12" t="s">
        <v>50</v>
      </c>
      <c r="B8" s="13" t="s">
        <v>51</v>
      </c>
      <c r="C8" s="14">
        <v>19.95</v>
      </c>
      <c r="D8" s="15">
        <v>27.95</v>
      </c>
      <c r="E8" s="15"/>
      <c r="F8" s="26">
        <v>16.63</v>
      </c>
      <c r="G8" s="33">
        <v>23.29</v>
      </c>
      <c r="H8" s="18">
        <v>3000.0</v>
      </c>
      <c r="I8" s="19">
        <v>15000.0</v>
      </c>
      <c r="J8" s="18">
        <v>8000.0</v>
      </c>
      <c r="K8" s="19">
        <v>30000.0</v>
      </c>
      <c r="L8" s="18">
        <v>3000.0</v>
      </c>
      <c r="M8" s="19">
        <v>10000.0</v>
      </c>
      <c r="N8" s="18">
        <v>8000.0</v>
      </c>
      <c r="O8" s="19">
        <v>20000.0</v>
      </c>
      <c r="P8" s="18">
        <v>3000.0</v>
      </c>
      <c r="Q8" s="19">
        <v>10000.0</v>
      </c>
      <c r="R8" s="18">
        <v>1000.0</v>
      </c>
      <c r="S8" s="19">
        <v>5000.0</v>
      </c>
      <c r="T8" s="18">
        <v>500.0</v>
      </c>
      <c r="U8" s="19">
        <v>3000.0</v>
      </c>
      <c r="V8" s="18">
        <v>500.0</v>
      </c>
      <c r="W8" s="19">
        <v>3000.0</v>
      </c>
      <c r="X8" s="18">
        <v>300.0</v>
      </c>
      <c r="Y8" s="19">
        <v>1000.0</v>
      </c>
      <c r="Z8" s="20">
        <v>5000.0</v>
      </c>
      <c r="AA8" s="21">
        <v>20000.0</v>
      </c>
      <c r="AB8" s="22">
        <v>11.0</v>
      </c>
      <c r="AC8" s="32">
        <v>50.0</v>
      </c>
      <c r="AD8" s="12" t="s">
        <v>52</v>
      </c>
      <c r="AE8" s="12"/>
      <c r="AF8" s="12"/>
      <c r="AG8" s="12" t="s">
        <v>53</v>
      </c>
      <c r="AH8" s="15">
        <v>1000000.0</v>
      </c>
      <c r="AI8" s="15">
        <v>3000000.0</v>
      </c>
      <c r="AK8" s="24">
        <f t="shared" ref="AK8:AL8" si="13">AH8-H8-J8-L8-N8-P8-R8-T8-V8-X8</f>
        <v>972700</v>
      </c>
      <c r="AL8" s="24">
        <f t="shared" si="13"/>
        <v>2903000</v>
      </c>
      <c r="AM8" s="25">
        <f t="shared" ref="AM8:AN8" si="14">H8/Z8</f>
        <v>0.6</v>
      </c>
      <c r="AN8" s="25">
        <f t="shared" si="14"/>
        <v>0.75</v>
      </c>
      <c r="AO8" s="24">
        <f t="shared" ref="AO8:AP8" si="15">C8-AM8</f>
        <v>19.35</v>
      </c>
      <c r="AP8" s="24">
        <f t="shared" si="15"/>
        <v>27.2</v>
      </c>
    </row>
    <row r="9">
      <c r="A9" s="12" t="s">
        <v>54</v>
      </c>
      <c r="B9" s="13" t="s">
        <v>55</v>
      </c>
      <c r="C9" s="14">
        <v>29.0</v>
      </c>
      <c r="D9" s="15">
        <v>187.0</v>
      </c>
      <c r="E9" s="15"/>
      <c r="F9" s="14">
        <v>25.0</v>
      </c>
      <c r="G9" s="23">
        <v>158.0</v>
      </c>
      <c r="H9" s="18">
        <v>10000.0</v>
      </c>
      <c r="I9" s="19">
        <v>30000.0</v>
      </c>
      <c r="J9" s="16">
        <v>15000.0</v>
      </c>
      <c r="K9" s="19">
        <v>30000.0</v>
      </c>
      <c r="L9" s="18">
        <v>8000.0</v>
      </c>
      <c r="M9" s="19">
        <v>25000.0</v>
      </c>
      <c r="N9" s="16">
        <v>20000.0</v>
      </c>
      <c r="O9" s="17">
        <v>50000.0</v>
      </c>
      <c r="P9" s="18">
        <v>5000.0</v>
      </c>
      <c r="Q9" s="19">
        <v>15000.0</v>
      </c>
      <c r="R9" s="18">
        <v>2000.0</v>
      </c>
      <c r="S9" s="19">
        <v>8000.0</v>
      </c>
      <c r="T9" s="18">
        <v>1000.0</v>
      </c>
      <c r="U9" s="19">
        <v>5000.0</v>
      </c>
      <c r="V9" s="18">
        <v>1000.0</v>
      </c>
      <c r="W9" s="19">
        <v>5000.0</v>
      </c>
      <c r="X9" s="18">
        <v>500.0</v>
      </c>
      <c r="Y9" s="19">
        <v>2000.0</v>
      </c>
      <c r="Z9" s="20">
        <v>1000.0</v>
      </c>
      <c r="AA9" s="21">
        <v>5000.0</v>
      </c>
      <c r="AB9" s="31">
        <v>15.0</v>
      </c>
      <c r="AC9" s="12">
        <v>23.0</v>
      </c>
      <c r="AD9" s="12" t="s">
        <v>56</v>
      </c>
      <c r="AE9" s="12">
        <v>3.9</v>
      </c>
      <c r="AF9" s="12" t="s">
        <v>57</v>
      </c>
      <c r="AG9" s="12" t="s">
        <v>58</v>
      </c>
      <c r="AH9" s="23">
        <v>2500000.0</v>
      </c>
      <c r="AI9" s="24"/>
      <c r="AK9" s="23">
        <f t="shared" ref="AK9:AL9" si="16">AH9-H9-J9-L9-N9-P9-R9-T9-V9-X9</f>
        <v>2437500</v>
      </c>
      <c r="AL9" s="33">
        <f t="shared" si="16"/>
        <v>-170000</v>
      </c>
      <c r="AM9" s="25">
        <f t="shared" ref="AM9:AN9" si="17">H9/Z9</f>
        <v>10</v>
      </c>
      <c r="AN9" s="25">
        <f t="shared" si="17"/>
        <v>6</v>
      </c>
      <c r="AO9" s="24">
        <f t="shared" ref="AO9:AP9" si="18">C9-AM9</f>
        <v>19</v>
      </c>
      <c r="AP9" s="24">
        <f t="shared" si="18"/>
        <v>181</v>
      </c>
    </row>
    <row r="10">
      <c r="A10" s="12" t="s">
        <v>59</v>
      </c>
      <c r="B10" s="13" t="s">
        <v>60</v>
      </c>
      <c r="C10" s="14">
        <v>47.0</v>
      </c>
      <c r="D10" s="33"/>
      <c r="E10" s="15"/>
      <c r="F10" s="14">
        <v>39.0</v>
      </c>
      <c r="G10" s="15"/>
      <c r="H10" s="18">
        <v>2000.0</v>
      </c>
      <c r="I10" s="19">
        <v>10000.0</v>
      </c>
      <c r="J10" s="34">
        <v>1000.0</v>
      </c>
      <c r="K10" s="35">
        <v>5000.0</v>
      </c>
      <c r="L10" s="34">
        <v>1000.0</v>
      </c>
      <c r="M10" s="35">
        <v>5000.0</v>
      </c>
      <c r="N10" s="34">
        <v>3000.0</v>
      </c>
      <c r="O10" s="35">
        <v>10000.0</v>
      </c>
      <c r="P10" s="34">
        <v>1000.0</v>
      </c>
      <c r="Q10" s="35">
        <v>5000.0</v>
      </c>
      <c r="R10" s="34">
        <v>200.0</v>
      </c>
      <c r="S10" s="35">
        <v>1000.0</v>
      </c>
      <c r="T10" s="34">
        <v>200.0</v>
      </c>
      <c r="U10" s="35">
        <v>1000.0</v>
      </c>
      <c r="V10" s="34">
        <v>200.0</v>
      </c>
      <c r="W10" s="35">
        <v>1000.0</v>
      </c>
      <c r="X10" s="34">
        <v>100.0</v>
      </c>
      <c r="Y10" s="35">
        <v>500.0</v>
      </c>
      <c r="Z10" s="22">
        <v>500.0</v>
      </c>
      <c r="AA10" s="21">
        <v>3000.0</v>
      </c>
      <c r="AB10" s="36">
        <v>1.0</v>
      </c>
      <c r="AC10" s="37">
        <v>5.0</v>
      </c>
      <c r="AD10" s="12" t="s">
        <v>61</v>
      </c>
      <c r="AE10" s="12">
        <v>4.0</v>
      </c>
      <c r="AF10" s="12" t="s">
        <v>62</v>
      </c>
      <c r="AG10" s="12" t="s">
        <v>49</v>
      </c>
      <c r="AH10" s="33">
        <v>100000.0</v>
      </c>
      <c r="AI10" s="33">
        <v>500000.0</v>
      </c>
      <c r="AK10" s="33">
        <f t="shared" ref="AK10:AL10" si="19">AH10-H10-J10-L10-N10-P10-R10-T10-V10-X10</f>
        <v>91300</v>
      </c>
      <c r="AL10" s="24">
        <f t="shared" si="19"/>
        <v>461500</v>
      </c>
      <c r="AM10" s="25">
        <f t="shared" ref="AM10:AN10" si="20">H10/Z10</f>
        <v>4</v>
      </c>
      <c r="AN10" s="25">
        <f t="shared" si="20"/>
        <v>3.333333333</v>
      </c>
      <c r="AO10" s="24">
        <f t="shared" ref="AO10:AO16" si="23">C10-AM10</f>
        <v>43</v>
      </c>
      <c r="AP10" s="38"/>
      <c r="AQ10" s="12" t="s">
        <v>63</v>
      </c>
    </row>
    <row r="11">
      <c r="A11" s="12" t="s">
        <v>64</v>
      </c>
      <c r="B11" s="13" t="s">
        <v>65</v>
      </c>
      <c r="C11" s="26">
        <v>0.0</v>
      </c>
      <c r="D11" s="33">
        <v>20.0</v>
      </c>
      <c r="E11" s="15">
        <v>60.0</v>
      </c>
      <c r="F11" s="14"/>
      <c r="G11" s="15"/>
      <c r="H11" s="18">
        <v>2000.0</v>
      </c>
      <c r="I11" s="19">
        <v>10000.0</v>
      </c>
      <c r="J11" s="34">
        <v>1000.0</v>
      </c>
      <c r="K11" s="35">
        <v>5000.0</v>
      </c>
      <c r="L11" s="34">
        <v>1000.0</v>
      </c>
      <c r="M11" s="35">
        <v>5000.0</v>
      </c>
      <c r="N11" s="34">
        <v>3000.0</v>
      </c>
      <c r="O11" s="35">
        <v>10000.0</v>
      </c>
      <c r="P11" s="34">
        <v>1000.0</v>
      </c>
      <c r="Q11" s="35">
        <v>5000.0</v>
      </c>
      <c r="R11" s="34">
        <v>200.0</v>
      </c>
      <c r="S11" s="35">
        <v>1000.0</v>
      </c>
      <c r="T11" s="34">
        <v>200.0</v>
      </c>
      <c r="U11" s="35">
        <v>1000.0</v>
      </c>
      <c r="V11" s="34">
        <v>200.0</v>
      </c>
      <c r="W11" s="35">
        <v>1000.0</v>
      </c>
      <c r="X11" s="34">
        <v>100.0</v>
      </c>
      <c r="Y11" s="35">
        <v>500.0</v>
      </c>
      <c r="Z11" s="22">
        <v>500.0</v>
      </c>
      <c r="AA11" s="21">
        <v>3000.0</v>
      </c>
      <c r="AB11" s="36">
        <v>1.0</v>
      </c>
      <c r="AC11" s="37">
        <v>5.0</v>
      </c>
      <c r="AD11" s="12" t="s">
        <v>66</v>
      </c>
      <c r="AF11" s="12"/>
      <c r="AG11" s="12" t="s">
        <v>67</v>
      </c>
      <c r="AH11" s="33">
        <v>100000.0</v>
      </c>
      <c r="AI11" s="33">
        <v>500000.0</v>
      </c>
      <c r="AK11" s="33">
        <f t="shared" ref="AK11:AL11" si="21">AH11-H11-J11-L11-N11-P11-R11-T11-V11-X11</f>
        <v>91300</v>
      </c>
      <c r="AL11" s="24">
        <f t="shared" si="21"/>
        <v>461500</v>
      </c>
      <c r="AM11" s="25">
        <f t="shared" ref="AM11:AN11" si="22">H11/Z11</f>
        <v>4</v>
      </c>
      <c r="AN11" s="25">
        <f t="shared" si="22"/>
        <v>3.333333333</v>
      </c>
      <c r="AO11" s="29">
        <f t="shared" si="23"/>
        <v>-4</v>
      </c>
      <c r="AP11" s="24">
        <f t="shared" ref="AP11:AP13" si="26">D11-AN11</f>
        <v>16.66666667</v>
      </c>
      <c r="AQ11" s="30" t="s">
        <v>39</v>
      </c>
    </row>
    <row r="12">
      <c r="A12" s="12" t="s">
        <v>68</v>
      </c>
      <c r="B12" s="13" t="s">
        <v>69</v>
      </c>
      <c r="C12" s="26">
        <v>0.0</v>
      </c>
      <c r="D12" s="23">
        <v>249.99</v>
      </c>
      <c r="E12" s="15"/>
      <c r="F12" s="14"/>
      <c r="G12" s="15"/>
      <c r="H12" s="18">
        <v>2000.0</v>
      </c>
      <c r="I12" s="19">
        <v>10000.0</v>
      </c>
      <c r="J12" s="34">
        <v>1000.0</v>
      </c>
      <c r="K12" s="35">
        <v>5000.0</v>
      </c>
      <c r="L12" s="34">
        <v>1000.0</v>
      </c>
      <c r="M12" s="35">
        <v>5000.0</v>
      </c>
      <c r="N12" s="34">
        <v>3000.0</v>
      </c>
      <c r="O12" s="35">
        <v>10000.0</v>
      </c>
      <c r="P12" s="34">
        <v>1000.0</v>
      </c>
      <c r="Q12" s="35">
        <v>5000.0</v>
      </c>
      <c r="R12" s="34">
        <v>200.0</v>
      </c>
      <c r="S12" s="35">
        <v>1000.0</v>
      </c>
      <c r="T12" s="34">
        <v>200.0</v>
      </c>
      <c r="U12" s="35">
        <v>1000.0</v>
      </c>
      <c r="V12" s="34">
        <v>200.0</v>
      </c>
      <c r="W12" s="35">
        <v>1000.0</v>
      </c>
      <c r="X12" s="34">
        <v>100.0</v>
      </c>
      <c r="Y12" s="35">
        <v>500.0</v>
      </c>
      <c r="Z12" s="36">
        <v>100.0</v>
      </c>
      <c r="AA12" s="37">
        <v>1000.0</v>
      </c>
      <c r="AB12" s="22">
        <v>2.0</v>
      </c>
      <c r="AC12" s="37">
        <v>5.0</v>
      </c>
      <c r="AD12" s="12" t="s">
        <v>70</v>
      </c>
      <c r="AF12" s="12"/>
      <c r="AG12" s="12" t="s">
        <v>71</v>
      </c>
      <c r="AH12" s="33">
        <v>100000.0</v>
      </c>
      <c r="AI12" s="33">
        <v>500000.0</v>
      </c>
      <c r="AK12" s="33">
        <f t="shared" ref="AK12:AL12" si="24">AH12-H12-J12-L12-N12-P12-R12-T12-V12-X12</f>
        <v>91300</v>
      </c>
      <c r="AL12" s="24">
        <f t="shared" si="24"/>
        <v>461500</v>
      </c>
      <c r="AM12" s="23">
        <f t="shared" ref="AM12:AN12" si="25">H12/Z12</f>
        <v>20</v>
      </c>
      <c r="AN12" s="25">
        <f t="shared" si="25"/>
        <v>10</v>
      </c>
      <c r="AO12" s="29">
        <f t="shared" si="23"/>
        <v>-20</v>
      </c>
      <c r="AP12" s="24">
        <f t="shared" si="26"/>
        <v>239.99</v>
      </c>
      <c r="AQ12" s="30" t="s">
        <v>39</v>
      </c>
    </row>
    <row r="13">
      <c r="A13" s="12" t="s">
        <v>72</v>
      </c>
      <c r="B13" s="13" t="s">
        <v>73</v>
      </c>
      <c r="C13" s="14">
        <v>79.0</v>
      </c>
      <c r="D13" s="15">
        <v>175.0</v>
      </c>
      <c r="E13" s="15"/>
      <c r="F13" s="14">
        <v>49.0</v>
      </c>
      <c r="G13" s="15"/>
      <c r="H13" s="18">
        <v>5000.0</v>
      </c>
      <c r="I13" s="19">
        <v>20000.0</v>
      </c>
      <c r="J13" s="18">
        <v>5000.0</v>
      </c>
      <c r="K13" s="19">
        <v>20000.0</v>
      </c>
      <c r="L13" s="18">
        <v>3000.0</v>
      </c>
      <c r="M13" s="19">
        <v>15000.0</v>
      </c>
      <c r="N13" s="18">
        <v>8000.0</v>
      </c>
      <c r="O13" s="19">
        <v>25000.0</v>
      </c>
      <c r="P13" s="18">
        <v>3000.0</v>
      </c>
      <c r="Q13" s="19">
        <v>10000.0</v>
      </c>
      <c r="R13" s="18">
        <v>1000.0</v>
      </c>
      <c r="S13" s="19">
        <v>5000.0</v>
      </c>
      <c r="T13" s="18">
        <v>500.0</v>
      </c>
      <c r="U13" s="19">
        <v>3000.0</v>
      </c>
      <c r="V13" s="18">
        <v>500.0</v>
      </c>
      <c r="W13" s="19">
        <v>3000.0</v>
      </c>
      <c r="X13" s="18">
        <v>300.0</v>
      </c>
      <c r="Y13" s="19">
        <v>1000.0</v>
      </c>
      <c r="Z13" s="20">
        <v>1000.0</v>
      </c>
      <c r="AA13" s="21">
        <v>5000.0</v>
      </c>
      <c r="AB13" s="22">
        <v>5.0</v>
      </c>
      <c r="AC13" s="12">
        <v>15.0</v>
      </c>
      <c r="AD13" s="12" t="s">
        <v>74</v>
      </c>
      <c r="AF13" s="12"/>
      <c r="AG13" s="12" t="s">
        <v>75</v>
      </c>
      <c r="AH13" s="15">
        <v>500000.0</v>
      </c>
      <c r="AI13" s="15">
        <v>2000000.0</v>
      </c>
      <c r="AK13" s="24">
        <f t="shared" ref="AK13:AL13" si="27">AH13-H13-J13-L13-N13-P13-R13-T13-V13-X13</f>
        <v>473700</v>
      </c>
      <c r="AL13" s="24">
        <f t="shared" si="27"/>
        <v>1898000</v>
      </c>
      <c r="AM13" s="25">
        <f t="shared" ref="AM13:AN13" si="28">H13/Z13</f>
        <v>5</v>
      </c>
      <c r="AN13" s="25">
        <f t="shared" si="28"/>
        <v>4</v>
      </c>
      <c r="AO13" s="24">
        <f t="shared" si="23"/>
        <v>74</v>
      </c>
      <c r="AP13" s="24">
        <f t="shared" si="26"/>
        <v>171</v>
      </c>
    </row>
    <row r="14">
      <c r="A14" s="12" t="s">
        <v>76</v>
      </c>
      <c r="B14" s="13" t="s">
        <v>77</v>
      </c>
      <c r="C14" s="14">
        <v>69.0</v>
      </c>
      <c r="D14" s="15"/>
      <c r="E14" s="15"/>
      <c r="F14" s="14">
        <v>58.0</v>
      </c>
      <c r="G14" s="15"/>
      <c r="H14" s="18">
        <v>5000.0</v>
      </c>
      <c r="I14" s="19">
        <v>15000.0</v>
      </c>
      <c r="J14" s="18">
        <v>2000.0</v>
      </c>
      <c r="K14" s="19">
        <v>10000.0</v>
      </c>
      <c r="L14" s="18">
        <v>3000.0</v>
      </c>
      <c r="M14" s="19">
        <v>10000.0</v>
      </c>
      <c r="N14" s="18">
        <v>5000.0</v>
      </c>
      <c r="O14" s="19">
        <v>15000.0</v>
      </c>
      <c r="P14" s="18">
        <v>2000.0</v>
      </c>
      <c r="Q14" s="19">
        <v>8000.0</v>
      </c>
      <c r="R14" s="18">
        <v>500.0</v>
      </c>
      <c r="S14" s="19">
        <v>3000.0</v>
      </c>
      <c r="T14" s="18">
        <v>300.0</v>
      </c>
      <c r="U14" s="19">
        <v>2000.0</v>
      </c>
      <c r="V14" s="18">
        <v>300.0</v>
      </c>
      <c r="W14" s="19">
        <v>2000.0</v>
      </c>
      <c r="X14" s="18">
        <v>200.0</v>
      </c>
      <c r="Y14" s="19">
        <v>800.0</v>
      </c>
      <c r="Z14" s="22">
        <v>500.0</v>
      </c>
      <c r="AA14" s="21">
        <v>3000.0</v>
      </c>
      <c r="AB14" s="36">
        <v>1.0</v>
      </c>
      <c r="AC14" s="37">
        <v>5.0</v>
      </c>
      <c r="AD14" s="12" t="s">
        <v>78</v>
      </c>
      <c r="AE14" s="39">
        <v>4.6</v>
      </c>
      <c r="AF14" s="12" t="s">
        <v>43</v>
      </c>
      <c r="AG14" s="12" t="s">
        <v>79</v>
      </c>
      <c r="AH14" s="15">
        <v>200000.0</v>
      </c>
      <c r="AI14" s="15">
        <v>1000000.0</v>
      </c>
      <c r="AK14" s="24">
        <f t="shared" ref="AK14:AL14" si="29">AH14-H14-J14-L14-N14-P14-R14-T14-V14-X14</f>
        <v>181700</v>
      </c>
      <c r="AL14" s="24">
        <f t="shared" si="29"/>
        <v>934200</v>
      </c>
      <c r="AM14" s="25">
        <f t="shared" ref="AM14:AN14" si="30">H14/Z14</f>
        <v>10</v>
      </c>
      <c r="AN14" s="25">
        <f t="shared" si="30"/>
        <v>5</v>
      </c>
      <c r="AO14" s="24">
        <f t="shared" si="23"/>
        <v>59</v>
      </c>
      <c r="AP14" s="38"/>
      <c r="AQ14" s="12" t="s">
        <v>63</v>
      </c>
    </row>
    <row r="15">
      <c r="A15" s="12" t="s">
        <v>80</v>
      </c>
      <c r="B15" s="13" t="s">
        <v>81</v>
      </c>
      <c r="C15" s="14">
        <v>39.95</v>
      </c>
      <c r="D15" s="15">
        <v>129.95</v>
      </c>
      <c r="E15" s="15"/>
      <c r="F15" s="14">
        <v>33.0</v>
      </c>
      <c r="G15" s="15">
        <v>108.0</v>
      </c>
      <c r="H15" s="18">
        <v>5000.0</v>
      </c>
      <c r="I15" s="19">
        <v>20000.0</v>
      </c>
      <c r="J15" s="18">
        <v>8000.0</v>
      </c>
      <c r="K15" s="19">
        <v>30000.0</v>
      </c>
      <c r="L15" s="18">
        <v>5000.0</v>
      </c>
      <c r="M15" s="19">
        <v>15000.0</v>
      </c>
      <c r="N15" s="18">
        <v>10000.0</v>
      </c>
      <c r="O15" s="19">
        <v>30000.0</v>
      </c>
      <c r="P15" s="18">
        <v>5000.0</v>
      </c>
      <c r="Q15" s="19">
        <v>15000.0</v>
      </c>
      <c r="R15" s="18">
        <v>2000.0</v>
      </c>
      <c r="S15" s="19">
        <v>8000.0</v>
      </c>
      <c r="T15" s="18">
        <v>1000.0</v>
      </c>
      <c r="U15" s="19">
        <v>5000.0</v>
      </c>
      <c r="V15" s="18">
        <v>1000.0</v>
      </c>
      <c r="W15" s="19">
        <v>5000.0</v>
      </c>
      <c r="X15" s="18">
        <v>500.0</v>
      </c>
      <c r="Y15" s="19">
        <v>2000.0</v>
      </c>
      <c r="Z15" s="20">
        <v>5000.0</v>
      </c>
      <c r="AA15" s="21">
        <v>15000.0</v>
      </c>
      <c r="AB15" s="36">
        <v>1.0</v>
      </c>
      <c r="AC15" s="37">
        <v>5.0</v>
      </c>
      <c r="AD15" s="12" t="s">
        <v>82</v>
      </c>
      <c r="AF15" s="12"/>
      <c r="AG15" s="12" t="s">
        <v>83</v>
      </c>
      <c r="AH15" s="15">
        <v>1000000.0</v>
      </c>
      <c r="AI15" s="15">
        <v>3000000.0</v>
      </c>
      <c r="AK15" s="24">
        <f t="shared" ref="AK15:AL15" si="31">AH15-H15-J15-L15-N15-P15-R15-T15-V15-X15</f>
        <v>962500</v>
      </c>
      <c r="AL15" s="24">
        <f t="shared" si="31"/>
        <v>2870000</v>
      </c>
      <c r="AM15" s="25">
        <f t="shared" ref="AM15:AN15" si="32">H15/Z15</f>
        <v>1</v>
      </c>
      <c r="AN15" s="25">
        <f t="shared" si="32"/>
        <v>1.333333333</v>
      </c>
      <c r="AO15" s="24">
        <f t="shared" si="23"/>
        <v>38.95</v>
      </c>
      <c r="AP15" s="24">
        <f>D15-AN15</f>
        <v>128.6166667</v>
      </c>
    </row>
    <row r="16">
      <c r="A16" s="12" t="s">
        <v>84</v>
      </c>
      <c r="B16" s="13" t="s">
        <v>85</v>
      </c>
      <c r="C16" s="27">
        <v>99.99</v>
      </c>
      <c r="D16" s="15"/>
      <c r="E16" s="15"/>
      <c r="F16" s="14"/>
      <c r="G16" s="15"/>
      <c r="H16" s="34">
        <v>2000.0</v>
      </c>
      <c r="I16" s="35">
        <v>8000.0</v>
      </c>
      <c r="J16" s="18">
        <v>5000.0</v>
      </c>
      <c r="K16" s="19">
        <v>20000.0</v>
      </c>
      <c r="L16" s="18">
        <v>1000.0</v>
      </c>
      <c r="M16" s="19">
        <v>5000.0</v>
      </c>
      <c r="N16" s="18">
        <v>3000.0</v>
      </c>
      <c r="O16" s="19">
        <v>10000.0</v>
      </c>
      <c r="P16" s="18">
        <v>2000.0</v>
      </c>
      <c r="Q16" s="19">
        <v>8000.0</v>
      </c>
      <c r="R16" s="18">
        <v>500.0</v>
      </c>
      <c r="S16" s="19">
        <v>3000.0</v>
      </c>
      <c r="T16" s="18">
        <v>300.0</v>
      </c>
      <c r="U16" s="19">
        <v>2000.0</v>
      </c>
      <c r="V16" s="18">
        <v>300.0</v>
      </c>
      <c r="W16" s="19">
        <v>2000.0</v>
      </c>
      <c r="X16" s="18">
        <v>200.0</v>
      </c>
      <c r="Y16" s="19">
        <v>800.0</v>
      </c>
      <c r="Z16" s="20">
        <v>5000.0</v>
      </c>
      <c r="AA16" s="21">
        <v>20000.0</v>
      </c>
      <c r="AB16" s="36">
        <v>1.0</v>
      </c>
      <c r="AC16" s="37">
        <v>5.0</v>
      </c>
      <c r="AD16" s="12" t="s">
        <v>86</v>
      </c>
      <c r="AF16" s="12"/>
      <c r="AG16" s="12" t="s">
        <v>87</v>
      </c>
      <c r="AH16" s="15">
        <v>500000.0</v>
      </c>
      <c r="AI16" s="15">
        <v>2000000.0</v>
      </c>
      <c r="AK16" s="24">
        <f t="shared" ref="AK16:AL16" si="33">AH16-H16-J16-L16-N16-P16-R16-T16-V16-X16</f>
        <v>485700</v>
      </c>
      <c r="AL16" s="24">
        <f t="shared" si="33"/>
        <v>1941200</v>
      </c>
      <c r="AM16" s="33">
        <f t="shared" ref="AM16:AN16" si="34">H16/Z16</f>
        <v>0.4</v>
      </c>
      <c r="AN16" s="33">
        <f t="shared" si="34"/>
        <v>0.4</v>
      </c>
      <c r="AO16" s="24">
        <f t="shared" si="23"/>
        <v>99.59</v>
      </c>
      <c r="AP16" s="38"/>
      <c r="AQ16" s="12" t="s">
        <v>63</v>
      </c>
    </row>
    <row r="17" ht="36.0" customHeight="1">
      <c r="A17" s="40" t="s">
        <v>88</v>
      </c>
      <c r="B17" s="41"/>
      <c r="C17" s="42">
        <f t="shared" ref="C17:D17" si="35">AVERAGE(C4:C16)</f>
        <v>37.52923077</v>
      </c>
      <c r="D17" s="43">
        <f t="shared" si="35"/>
        <v>115.888</v>
      </c>
      <c r="E17" s="43"/>
      <c r="F17" s="42">
        <f t="shared" ref="F17:AC17" si="36">AVERAGE(F4:F16)</f>
        <v>39.18111111</v>
      </c>
      <c r="G17" s="43">
        <f t="shared" si="36"/>
        <v>94.258</v>
      </c>
      <c r="H17" s="44">
        <f t="shared" si="36"/>
        <v>6076.923077</v>
      </c>
      <c r="I17" s="45">
        <f t="shared" si="36"/>
        <v>22153.84615</v>
      </c>
      <c r="J17" s="44">
        <f t="shared" si="36"/>
        <v>5461.538462</v>
      </c>
      <c r="K17" s="45">
        <f t="shared" si="36"/>
        <v>20384.61538</v>
      </c>
      <c r="L17" s="44">
        <f t="shared" si="36"/>
        <v>4153.846154</v>
      </c>
      <c r="M17" s="45">
        <f t="shared" si="36"/>
        <v>15769.23077</v>
      </c>
      <c r="N17" s="44">
        <f t="shared" si="36"/>
        <v>7000</v>
      </c>
      <c r="O17" s="45">
        <f t="shared" si="36"/>
        <v>20000</v>
      </c>
      <c r="P17" s="44">
        <f t="shared" si="36"/>
        <v>3692.307692</v>
      </c>
      <c r="Q17" s="45">
        <f t="shared" si="36"/>
        <v>12230.76923</v>
      </c>
      <c r="R17" s="44">
        <f t="shared" si="36"/>
        <v>1238.461538</v>
      </c>
      <c r="S17" s="45">
        <f t="shared" si="36"/>
        <v>5230.769231</v>
      </c>
      <c r="T17" s="44">
        <f t="shared" si="36"/>
        <v>615.3846154</v>
      </c>
      <c r="U17" s="45">
        <f t="shared" si="36"/>
        <v>3153.846154</v>
      </c>
      <c r="V17" s="44">
        <f t="shared" si="36"/>
        <v>538.4615385</v>
      </c>
      <c r="W17" s="45">
        <f t="shared" si="36"/>
        <v>2923.076923</v>
      </c>
      <c r="X17" s="44">
        <f t="shared" si="36"/>
        <v>330.7692308</v>
      </c>
      <c r="Y17" s="45">
        <f t="shared" si="36"/>
        <v>1376.923077</v>
      </c>
      <c r="Z17" s="46">
        <f t="shared" si="36"/>
        <v>2469.230769</v>
      </c>
      <c r="AA17" s="47">
        <f t="shared" si="36"/>
        <v>10692.30769</v>
      </c>
      <c r="AB17" s="46">
        <f t="shared" si="36"/>
        <v>4.307692308</v>
      </c>
      <c r="AC17" s="47">
        <f t="shared" si="36"/>
        <v>15.33333333</v>
      </c>
      <c r="AD17" s="41"/>
      <c r="AE17" s="48">
        <f>IFERROR(AVERAGE(AE4:AE16), 0)</f>
        <v>3.471428571</v>
      </c>
      <c r="AF17" s="41"/>
      <c r="AG17" s="41"/>
      <c r="AH17" s="43">
        <f t="shared" ref="AH17:AI17" si="37">AVERAGE(AH4:AH16)</f>
        <v>669230.7692</v>
      </c>
      <c r="AI17" s="43">
        <f t="shared" si="37"/>
        <v>1958333.333</v>
      </c>
      <c r="AJ17" s="41"/>
      <c r="AK17" s="43">
        <f t="shared" ref="AK17:AP17" si="38">AVERAGE(AK4:AK16)</f>
        <v>640123.0769</v>
      </c>
      <c r="AL17" s="43">
        <f t="shared" si="38"/>
        <v>1704469.231</v>
      </c>
      <c r="AM17" s="43">
        <f t="shared" si="38"/>
        <v>7.038461538</v>
      </c>
      <c r="AN17" s="43">
        <f t="shared" si="38"/>
        <v>5.157692308</v>
      </c>
      <c r="AO17" s="43">
        <f t="shared" si="38"/>
        <v>30.49076923</v>
      </c>
      <c r="AP17" s="43">
        <f t="shared" si="38"/>
        <v>110.0563333</v>
      </c>
      <c r="AQ17" s="41"/>
      <c r="AR17" s="41"/>
      <c r="AS17" s="41"/>
      <c r="AT17" s="41"/>
      <c r="AU17" s="41"/>
      <c r="AV17" s="41"/>
      <c r="AW17" s="41"/>
      <c r="AX17" s="41"/>
      <c r="AY17" s="41"/>
    </row>
    <row r="18" ht="15.75" customHeight="1">
      <c r="A18" s="49" t="s">
        <v>89</v>
      </c>
      <c r="B18" s="50"/>
      <c r="C18" s="26">
        <f t="shared" ref="C18:D18" si="39">MIN(C4:C16)</f>
        <v>0</v>
      </c>
      <c r="D18" s="33">
        <f t="shared" si="39"/>
        <v>20</v>
      </c>
      <c r="E18" s="33"/>
      <c r="F18" s="26">
        <f t="shared" ref="F18:AC18" si="40">MIN(F4:F16)</f>
        <v>16.63</v>
      </c>
      <c r="G18" s="33">
        <f t="shared" si="40"/>
        <v>23.29</v>
      </c>
      <c r="H18" s="34">
        <f t="shared" si="40"/>
        <v>2000</v>
      </c>
      <c r="I18" s="35">
        <f t="shared" si="40"/>
        <v>8000</v>
      </c>
      <c r="J18" s="34">
        <f t="shared" si="40"/>
        <v>1000</v>
      </c>
      <c r="K18" s="35">
        <f t="shared" si="40"/>
        <v>5000</v>
      </c>
      <c r="L18" s="34">
        <f t="shared" si="40"/>
        <v>1000</v>
      </c>
      <c r="M18" s="35">
        <f t="shared" si="40"/>
        <v>5000</v>
      </c>
      <c r="N18" s="34">
        <f t="shared" si="40"/>
        <v>3000</v>
      </c>
      <c r="O18" s="35">
        <f t="shared" si="40"/>
        <v>10000</v>
      </c>
      <c r="P18" s="34">
        <f t="shared" si="40"/>
        <v>1000</v>
      </c>
      <c r="Q18" s="35">
        <f t="shared" si="40"/>
        <v>5000</v>
      </c>
      <c r="R18" s="34">
        <f t="shared" si="40"/>
        <v>200</v>
      </c>
      <c r="S18" s="35">
        <f t="shared" si="40"/>
        <v>1000</v>
      </c>
      <c r="T18" s="34">
        <f t="shared" si="40"/>
        <v>200</v>
      </c>
      <c r="U18" s="35">
        <f t="shared" si="40"/>
        <v>1000</v>
      </c>
      <c r="V18" s="34">
        <f t="shared" si="40"/>
        <v>200</v>
      </c>
      <c r="W18" s="35">
        <f t="shared" si="40"/>
        <v>1000</v>
      </c>
      <c r="X18" s="34">
        <f t="shared" si="40"/>
        <v>100</v>
      </c>
      <c r="Y18" s="35">
        <f t="shared" si="40"/>
        <v>500</v>
      </c>
      <c r="Z18" s="36">
        <f t="shared" si="40"/>
        <v>100</v>
      </c>
      <c r="AA18" s="37">
        <f t="shared" si="40"/>
        <v>1000</v>
      </c>
      <c r="AB18" s="36">
        <f t="shared" si="40"/>
        <v>1</v>
      </c>
      <c r="AC18" s="37">
        <f t="shared" si="40"/>
        <v>5</v>
      </c>
      <c r="AD18" s="50"/>
      <c r="AE18" s="28">
        <f>IFERROR(MIN(AE4:AE16), 0)</f>
        <v>2.2</v>
      </c>
      <c r="AF18" s="50"/>
      <c r="AG18" s="50"/>
      <c r="AH18" s="33">
        <f t="shared" ref="AH18:AI18" si="41">MIN(AH4:AH16)</f>
        <v>100000</v>
      </c>
      <c r="AI18" s="33">
        <f t="shared" si="41"/>
        <v>500000</v>
      </c>
      <c r="AJ18" s="50"/>
      <c r="AK18" s="33">
        <f t="shared" ref="AK18:AP18" si="42">MIN(AK4:AK16)</f>
        <v>91300</v>
      </c>
      <c r="AL18" s="33">
        <f t="shared" si="42"/>
        <v>-170000</v>
      </c>
      <c r="AM18" s="33">
        <f t="shared" si="42"/>
        <v>0.4</v>
      </c>
      <c r="AN18" s="33">
        <f t="shared" si="42"/>
        <v>0.4</v>
      </c>
      <c r="AO18" s="33">
        <f t="shared" si="42"/>
        <v>-20</v>
      </c>
      <c r="AP18" s="33">
        <f t="shared" si="42"/>
        <v>16.66666667</v>
      </c>
      <c r="AQ18" s="50"/>
      <c r="AR18" s="50"/>
      <c r="AS18" s="50"/>
      <c r="AT18" s="50"/>
      <c r="AU18" s="50"/>
      <c r="AV18" s="50"/>
      <c r="AW18" s="50"/>
      <c r="AX18" s="50"/>
      <c r="AY18" s="50"/>
    </row>
    <row r="19" ht="15.75" customHeight="1">
      <c r="A19" s="51" t="s">
        <v>90</v>
      </c>
      <c r="B19" s="52"/>
      <c r="C19" s="27">
        <f t="shared" ref="C19:D19" si="43">MAX(C4:C16)</f>
        <v>99.99</v>
      </c>
      <c r="D19" s="23">
        <f t="shared" si="43"/>
        <v>249.99</v>
      </c>
      <c r="E19" s="23"/>
      <c r="F19" s="27">
        <f t="shared" ref="F19:AC19" si="44">MAX(F4:F16)</f>
        <v>73</v>
      </c>
      <c r="G19" s="23">
        <f t="shared" si="44"/>
        <v>158</v>
      </c>
      <c r="H19" s="16">
        <f t="shared" si="44"/>
        <v>20000</v>
      </c>
      <c r="I19" s="17">
        <f t="shared" si="44"/>
        <v>60000</v>
      </c>
      <c r="J19" s="16">
        <f t="shared" si="44"/>
        <v>15000</v>
      </c>
      <c r="K19" s="17">
        <f t="shared" si="44"/>
        <v>50000</v>
      </c>
      <c r="L19" s="16">
        <f t="shared" si="44"/>
        <v>10000</v>
      </c>
      <c r="M19" s="17">
        <f t="shared" si="44"/>
        <v>40000</v>
      </c>
      <c r="N19" s="16">
        <f t="shared" si="44"/>
        <v>20000</v>
      </c>
      <c r="O19" s="17">
        <f t="shared" si="44"/>
        <v>50000</v>
      </c>
      <c r="P19" s="16">
        <f t="shared" si="44"/>
        <v>15000</v>
      </c>
      <c r="Q19" s="17">
        <f t="shared" si="44"/>
        <v>40000</v>
      </c>
      <c r="R19" s="16">
        <f t="shared" si="44"/>
        <v>5000</v>
      </c>
      <c r="S19" s="17">
        <f t="shared" si="44"/>
        <v>15000</v>
      </c>
      <c r="T19" s="16">
        <f t="shared" si="44"/>
        <v>2000</v>
      </c>
      <c r="U19" s="17">
        <f t="shared" si="44"/>
        <v>8000</v>
      </c>
      <c r="V19" s="16">
        <f t="shared" si="44"/>
        <v>1000</v>
      </c>
      <c r="W19" s="17">
        <f t="shared" si="44"/>
        <v>5000</v>
      </c>
      <c r="X19" s="16">
        <f t="shared" si="44"/>
        <v>1000</v>
      </c>
      <c r="Y19" s="17">
        <f t="shared" si="44"/>
        <v>5000</v>
      </c>
      <c r="Z19" s="31">
        <f t="shared" si="44"/>
        <v>10000</v>
      </c>
      <c r="AA19" s="32">
        <f t="shared" si="44"/>
        <v>50000</v>
      </c>
      <c r="AB19" s="31">
        <f t="shared" si="44"/>
        <v>15</v>
      </c>
      <c r="AC19" s="32">
        <f t="shared" si="44"/>
        <v>50</v>
      </c>
      <c r="AD19" s="52"/>
      <c r="AE19" s="39">
        <f>IFERROR(MAX(AE5:AE17), 0)</f>
        <v>4.6</v>
      </c>
      <c r="AF19" s="52"/>
      <c r="AG19" s="52"/>
      <c r="AH19" s="23">
        <f t="shared" ref="AH19:AI19" si="45">MAX(AH4:AH16)</f>
        <v>2500000</v>
      </c>
      <c r="AI19" s="23">
        <f t="shared" si="45"/>
        <v>5000000</v>
      </c>
      <c r="AJ19" s="52"/>
      <c r="AK19" s="23">
        <f t="shared" ref="AK19:AP19" si="46">MAX(AK4:AK16)</f>
        <v>2437500</v>
      </c>
      <c r="AL19" s="23">
        <f t="shared" si="46"/>
        <v>4778000</v>
      </c>
      <c r="AM19" s="23">
        <f t="shared" si="46"/>
        <v>20</v>
      </c>
      <c r="AN19" s="23">
        <f t="shared" si="46"/>
        <v>15</v>
      </c>
      <c r="AO19" s="23">
        <f t="shared" si="46"/>
        <v>99.59</v>
      </c>
      <c r="AP19" s="23">
        <f t="shared" si="46"/>
        <v>239.99</v>
      </c>
      <c r="AQ19" s="52"/>
      <c r="AR19" s="52"/>
      <c r="AS19" s="52"/>
      <c r="AT19" s="52"/>
      <c r="AU19" s="52"/>
      <c r="AV19" s="52"/>
      <c r="AW19" s="52"/>
      <c r="AX19" s="52"/>
      <c r="AY19" s="52"/>
    </row>
    <row r="20" ht="15.75" customHeight="1">
      <c r="A20" s="53" t="s">
        <v>91</v>
      </c>
      <c r="B20" s="54"/>
      <c r="C20" s="55">
        <f t="shared" ref="C20:D20" si="47">C17-(C17*0.5)</f>
        <v>18.76461538</v>
      </c>
      <c r="D20" s="56">
        <f t="shared" si="47"/>
        <v>57.944</v>
      </c>
      <c r="E20" s="56"/>
      <c r="F20" s="55">
        <f t="shared" ref="F20:G20" si="48">F17-(F17*0.5)</f>
        <v>19.59055556</v>
      </c>
      <c r="G20" s="56">
        <f t="shared" si="48"/>
        <v>47.129</v>
      </c>
      <c r="H20" s="57"/>
      <c r="I20" s="58"/>
      <c r="J20" s="57"/>
      <c r="K20" s="58"/>
      <c r="L20" s="57"/>
      <c r="M20" s="58"/>
      <c r="N20" s="57"/>
      <c r="O20" s="58"/>
      <c r="P20" s="57"/>
      <c r="Q20" s="58"/>
      <c r="R20" s="57"/>
      <c r="S20" s="58"/>
      <c r="T20" s="57"/>
      <c r="U20" s="58"/>
      <c r="V20" s="57"/>
      <c r="W20" s="58"/>
      <c r="X20" s="57"/>
      <c r="Y20" s="58"/>
      <c r="Z20" s="59"/>
      <c r="AA20" s="54"/>
      <c r="AB20" s="59"/>
      <c r="AC20" s="54"/>
      <c r="AD20" s="54"/>
      <c r="AE20" s="54"/>
      <c r="AF20" s="54"/>
      <c r="AG20" s="54"/>
      <c r="AH20" s="56"/>
      <c r="AI20" s="56"/>
      <c r="AJ20" s="54"/>
      <c r="AN20" s="54"/>
      <c r="AP20" s="54"/>
      <c r="AQ20" s="54"/>
      <c r="AR20" s="54"/>
      <c r="AS20" s="54"/>
      <c r="AT20" s="54"/>
      <c r="AU20" s="54"/>
      <c r="AV20" s="54"/>
      <c r="AW20" s="54"/>
      <c r="AX20" s="54"/>
      <c r="AY20" s="54"/>
    </row>
    <row r="21" ht="25.5" customHeight="1">
      <c r="A21" s="60" t="s">
        <v>92</v>
      </c>
      <c r="B21" s="61"/>
      <c r="C21" s="62">
        <f>AVERAGE(C17:D17)</f>
        <v>76.70861538</v>
      </c>
      <c r="D21" s="61"/>
      <c r="E21" s="61"/>
      <c r="F21" s="62">
        <f>AVERAGE(F17:G17)</f>
        <v>66.71955556</v>
      </c>
      <c r="G21" s="61"/>
      <c r="H21" s="63">
        <f>AVERAGE(H17:I17)</f>
        <v>14115.38462</v>
      </c>
      <c r="I21" s="25"/>
      <c r="J21" s="63">
        <f>AVERAGE(J17:K17)</f>
        <v>12923.07692</v>
      </c>
      <c r="K21" s="64"/>
      <c r="L21" s="63">
        <f>AVERAGE(L17:M17)</f>
        <v>9961.538462</v>
      </c>
      <c r="M21" s="64"/>
      <c r="N21" s="63">
        <f>AVERAGE(N17:O17)</f>
        <v>13500</v>
      </c>
      <c r="O21" s="64"/>
      <c r="P21" s="63">
        <f>AVERAGE(P17:Q17)</f>
        <v>7961.538462</v>
      </c>
      <c r="Q21" s="64"/>
      <c r="R21" s="63">
        <f>AVERAGE(R17:S17)</f>
        <v>3234.615385</v>
      </c>
      <c r="S21" s="64"/>
      <c r="T21" s="63">
        <f>AVERAGE(T17:U17)</f>
        <v>1884.615385</v>
      </c>
      <c r="U21" s="64"/>
      <c r="V21" s="63">
        <f>AVERAGE(V17:W17)</f>
        <v>1730.769231</v>
      </c>
      <c r="W21" s="64"/>
      <c r="X21" s="63">
        <f>AVERAGE(X17:Y17)</f>
        <v>853.8461538</v>
      </c>
      <c r="Y21" s="64"/>
      <c r="Z21" s="65">
        <f>AVERAGE(Z17:AA17)</f>
        <v>6580.769231</v>
      </c>
      <c r="AB21" s="66"/>
      <c r="AC21" s="61"/>
      <c r="AD21" s="61"/>
      <c r="AE21" s="61"/>
      <c r="AF21" s="61"/>
      <c r="AG21" s="61"/>
      <c r="AH21" s="67">
        <f>AVERAGE(AH17:AI17)</f>
        <v>1313782.051</v>
      </c>
      <c r="AJ21" s="61"/>
      <c r="AK21" s="67">
        <f>AVERAGE(AK17:AL17)</f>
        <v>1172296.154</v>
      </c>
      <c r="AM21" s="67">
        <f>AVERAGE(AM17:AN17)</f>
        <v>6.098076923</v>
      </c>
      <c r="AO21" s="67">
        <f>AVERAGE(AO17:AP17)</f>
        <v>70.27355128</v>
      </c>
      <c r="AQ21" s="68">
        <f>(AO21-AM21)/AO21</f>
        <v>0.9132237263</v>
      </c>
      <c r="AR21" s="61"/>
      <c r="AS21" s="60" t="s">
        <v>93</v>
      </c>
      <c r="AT21" s="61"/>
      <c r="AU21" s="61"/>
      <c r="AV21" s="61"/>
      <c r="AW21" s="61"/>
      <c r="AX21" s="61"/>
      <c r="AY21" s="61"/>
    </row>
    <row r="22" ht="25.5" customHeight="1">
      <c r="A22" s="9"/>
      <c r="C22" s="69" t="s">
        <v>94</v>
      </c>
      <c r="D22" s="56"/>
      <c r="F22" s="69" t="s">
        <v>94</v>
      </c>
      <c r="H22" s="69" t="s">
        <v>94</v>
      </c>
      <c r="J22" s="69" t="s">
        <v>94</v>
      </c>
      <c r="L22" s="69" t="s">
        <v>94</v>
      </c>
      <c r="N22" s="69" t="s">
        <v>94</v>
      </c>
      <c r="P22" s="69" t="s">
        <v>94</v>
      </c>
      <c r="R22" s="69" t="s">
        <v>94</v>
      </c>
      <c r="T22" s="69" t="s">
        <v>94</v>
      </c>
      <c r="V22" s="69" t="s">
        <v>94</v>
      </c>
      <c r="X22" s="69" t="s">
        <v>94</v>
      </c>
      <c r="Z22" s="69" t="s">
        <v>94</v>
      </c>
      <c r="AB22" s="70"/>
      <c r="AH22" s="6" t="s">
        <v>95</v>
      </c>
      <c r="AI22" s="71"/>
      <c r="AJ22" s="71"/>
      <c r="AK22" s="6" t="s">
        <v>96</v>
      </c>
      <c r="AL22" s="71"/>
      <c r="AM22" s="6" t="s">
        <v>97</v>
      </c>
      <c r="AN22" s="71"/>
      <c r="AO22" s="6" t="s">
        <v>98</v>
      </c>
      <c r="AP22" s="71"/>
      <c r="AQ22" s="6" t="s">
        <v>99</v>
      </c>
      <c r="AS22" s="9" t="s">
        <v>100</v>
      </c>
    </row>
    <row r="23" ht="25.5" customHeight="1">
      <c r="A23" s="9"/>
      <c r="AS23" s="12"/>
    </row>
    <row r="24" ht="25.5" customHeight="1">
      <c r="A24" s="9" t="s">
        <v>101</v>
      </c>
    </row>
    <row r="25" ht="17.25" customHeight="1">
      <c r="A25" s="72" t="s">
        <v>102</v>
      </c>
      <c r="AC25" s="73"/>
      <c r="AD25" s="73"/>
      <c r="AE25" s="73"/>
      <c r="AF25" s="73"/>
      <c r="AG25" s="73"/>
      <c r="AH25" s="73"/>
      <c r="AI25" s="73"/>
      <c r="AJ25" s="73"/>
      <c r="AK25" s="73"/>
      <c r="AL25" s="73"/>
      <c r="AM25" s="73"/>
      <c r="AN25" s="73"/>
      <c r="AO25" s="73"/>
      <c r="AP25" s="73"/>
      <c r="AQ25" s="73"/>
      <c r="AR25" s="73"/>
      <c r="AS25" s="12" t="s">
        <v>103</v>
      </c>
      <c r="AT25" s="12" t="s">
        <v>104</v>
      </c>
      <c r="AU25" s="12" t="s">
        <v>105</v>
      </c>
      <c r="AV25" s="73"/>
      <c r="AW25" s="73"/>
      <c r="AX25" s="73"/>
      <c r="AY25" s="73"/>
    </row>
    <row r="26" ht="17.25" customHeight="1">
      <c r="A26" s="72" t="s">
        <v>106</v>
      </c>
      <c r="AC26" s="73"/>
      <c r="AD26" s="73"/>
      <c r="AE26" s="73"/>
      <c r="AF26" s="73"/>
      <c r="AG26" s="73"/>
      <c r="AH26" s="73"/>
      <c r="AI26" s="73"/>
      <c r="AJ26" s="73"/>
      <c r="AK26" s="73"/>
      <c r="AL26" s="73"/>
      <c r="AM26" s="73"/>
      <c r="AN26" s="73"/>
      <c r="AO26" s="73"/>
      <c r="AP26" s="73"/>
      <c r="AQ26" s="73"/>
      <c r="AR26" s="73"/>
      <c r="AS26" s="12" t="s">
        <v>107</v>
      </c>
      <c r="AT26" s="72" t="s">
        <v>108</v>
      </c>
      <c r="AU26" s="73"/>
      <c r="AV26" s="73"/>
      <c r="AW26" s="73"/>
      <c r="AX26" s="73"/>
      <c r="AY26" s="73"/>
    </row>
    <row r="27" ht="17.25" customHeight="1">
      <c r="A27" s="74" t="s">
        <v>109</v>
      </c>
      <c r="AC27" s="73"/>
      <c r="AD27" s="73"/>
      <c r="AE27" s="73"/>
      <c r="AF27" s="73"/>
      <c r="AG27" s="73"/>
      <c r="AH27" s="73"/>
      <c r="AI27" s="73"/>
      <c r="AJ27" s="73"/>
      <c r="AK27" s="73"/>
      <c r="AL27" s="73"/>
      <c r="AM27" s="73"/>
      <c r="AN27" s="73"/>
      <c r="AO27" s="73"/>
      <c r="AP27" s="73"/>
      <c r="AQ27" s="73"/>
      <c r="AR27" s="73"/>
      <c r="AS27" s="12" t="s">
        <v>110</v>
      </c>
      <c r="AT27" s="72" t="s">
        <v>111</v>
      </c>
      <c r="AU27" s="75">
        <v>6.0</v>
      </c>
      <c r="AV27" s="73"/>
      <c r="AW27" s="73"/>
      <c r="AX27" s="73"/>
      <c r="AY27" s="73"/>
    </row>
    <row r="28" ht="17.25" customHeight="1">
      <c r="A28" s="72" t="s">
        <v>112</v>
      </c>
      <c r="AC28" s="73"/>
      <c r="AD28" s="73"/>
      <c r="AE28" s="73"/>
      <c r="AF28" s="73"/>
      <c r="AG28" s="73"/>
      <c r="AH28" s="73"/>
      <c r="AI28" s="73"/>
      <c r="AJ28" s="73"/>
      <c r="AK28" s="73"/>
      <c r="AL28" s="73"/>
      <c r="AM28" s="73"/>
      <c r="AN28" s="73"/>
      <c r="AO28" s="73"/>
      <c r="AP28" s="73"/>
      <c r="AQ28" s="73"/>
      <c r="AR28" s="73"/>
      <c r="AS28" s="12"/>
      <c r="AT28" s="73"/>
      <c r="AU28" s="73"/>
      <c r="AV28" s="73"/>
      <c r="AW28" s="73"/>
      <c r="AX28" s="73"/>
      <c r="AY28" s="73"/>
    </row>
    <row r="29" ht="17.25" customHeight="1">
      <c r="AS29" s="12" t="s">
        <v>113</v>
      </c>
      <c r="AT29" s="72" t="s">
        <v>114</v>
      </c>
      <c r="AU29" s="73"/>
    </row>
    <row r="30" ht="17.25" customHeight="1">
      <c r="A30" s="12" t="s">
        <v>115</v>
      </c>
      <c r="AS30" s="12" t="s">
        <v>107</v>
      </c>
      <c r="AT30" s="12" t="s">
        <v>116</v>
      </c>
    </row>
    <row r="31" ht="17.25" customHeight="1">
      <c r="A31" s="12" t="s">
        <v>117</v>
      </c>
      <c r="AS31" s="12" t="s">
        <v>110</v>
      </c>
      <c r="AT31" s="12" t="s">
        <v>118</v>
      </c>
      <c r="AU31" s="76">
        <v>25.0</v>
      </c>
    </row>
    <row r="32" ht="17.25" customHeight="1">
      <c r="A32" s="12" t="s">
        <v>119</v>
      </c>
      <c r="AS32" s="12"/>
    </row>
    <row r="33" ht="17.25" customHeight="1">
      <c r="A33" s="12" t="s">
        <v>120</v>
      </c>
      <c r="AS33" s="12" t="s">
        <v>103</v>
      </c>
      <c r="AT33" s="12" t="s">
        <v>121</v>
      </c>
    </row>
    <row r="34" ht="17.25" customHeight="1">
      <c r="A34" s="12" t="s">
        <v>122</v>
      </c>
      <c r="AS34" s="12" t="s">
        <v>107</v>
      </c>
      <c r="AT34" s="12" t="s">
        <v>123</v>
      </c>
    </row>
    <row r="35" ht="17.25" customHeight="1">
      <c r="A35" s="12" t="s">
        <v>124</v>
      </c>
      <c r="AS35" s="12" t="s">
        <v>110</v>
      </c>
      <c r="AT35" s="12" t="s">
        <v>125</v>
      </c>
      <c r="AU35" s="76">
        <v>100.0</v>
      </c>
      <c r="AV35" s="12" t="s">
        <v>126</v>
      </c>
    </row>
    <row r="36" ht="17.25" customHeight="1">
      <c r="A36" s="12" t="s">
        <v>127</v>
      </c>
      <c r="AS36" s="12"/>
    </row>
    <row r="37">
      <c r="AS37" s="12" t="s">
        <v>103</v>
      </c>
      <c r="AT37" s="12" t="s">
        <v>128</v>
      </c>
    </row>
    <row r="38">
      <c r="AS38" s="12" t="s">
        <v>107</v>
      </c>
      <c r="AT38" s="12" t="s">
        <v>129</v>
      </c>
    </row>
    <row r="39">
      <c r="AS39" s="12" t="s">
        <v>110</v>
      </c>
      <c r="AT39" s="12" t="s">
        <v>130</v>
      </c>
      <c r="AV39" s="12" t="s">
        <v>131</v>
      </c>
    </row>
    <row r="42">
      <c r="AS42" s="12" t="s">
        <v>132</v>
      </c>
    </row>
  </sheetData>
  <mergeCells count="4">
    <mergeCell ref="A25:AB25"/>
    <mergeCell ref="A26:AB26"/>
    <mergeCell ref="A27:AB27"/>
    <mergeCell ref="A28:AB28"/>
  </mergeCells>
  <hyperlinks>
    <hyperlink r:id="rId1" ref="B4"/>
    <hyperlink r:id="rId2" ref="B5"/>
    <hyperlink r:id="rId3" ref="B6"/>
    <hyperlink r:id="rId4" ref="B8"/>
    <hyperlink r:id="rId5" ref="B9"/>
    <hyperlink r:id="rId6" ref="B10"/>
    <hyperlink r:id="rId7" ref="B11"/>
    <hyperlink r:id="rId8" ref="B12"/>
    <hyperlink r:id="rId9" ref="B13"/>
    <hyperlink r:id="rId10" ref="B14"/>
    <hyperlink r:id="rId11" ref="B15"/>
    <hyperlink r:id="rId12" ref="B16"/>
    <hyperlink r:id="rId13" ref="A2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7.5"/>
    <col customWidth="1" min="3" max="3" width="18.75"/>
    <col customWidth="1" min="4" max="4" width="19.0"/>
    <col customWidth="1" min="5" max="5" width="66.63"/>
    <col customWidth="1" min="8" max="8" width="7.38"/>
    <col customWidth="1" min="9" max="9" width="5.13"/>
  </cols>
  <sheetData>
    <row r="1" ht="25.5" customHeight="1">
      <c r="A1" s="9" t="s">
        <v>133</v>
      </c>
      <c r="B1" s="11"/>
      <c r="C1" s="11"/>
      <c r="D1" s="11"/>
      <c r="E1" s="11"/>
      <c r="F1" s="11"/>
      <c r="G1" s="11"/>
      <c r="H1" s="11"/>
      <c r="I1" s="11"/>
      <c r="J1" s="11"/>
      <c r="K1" s="11"/>
      <c r="L1" s="11"/>
      <c r="M1" s="11"/>
      <c r="N1" s="11"/>
      <c r="O1" s="11"/>
      <c r="P1" s="11"/>
      <c r="Q1" s="11"/>
      <c r="R1" s="11"/>
      <c r="S1" s="11"/>
      <c r="T1" s="11"/>
      <c r="U1" s="11"/>
      <c r="V1" s="11"/>
      <c r="W1" s="11"/>
      <c r="X1" s="11"/>
      <c r="Y1" s="11"/>
      <c r="Z1" s="11"/>
    </row>
    <row r="2">
      <c r="A2" s="77" t="s">
        <v>134</v>
      </c>
      <c r="B2" s="78"/>
      <c r="C2" s="78"/>
      <c r="D2" s="78"/>
      <c r="E2" s="78"/>
      <c r="F2" s="78"/>
      <c r="G2" s="78"/>
      <c r="H2" s="78"/>
      <c r="I2" s="78"/>
      <c r="J2" s="78"/>
      <c r="K2" s="78"/>
      <c r="L2" s="78"/>
      <c r="M2" s="78"/>
      <c r="N2" s="78"/>
      <c r="O2" s="78"/>
      <c r="P2" s="78"/>
      <c r="Q2" s="78"/>
      <c r="R2" s="78"/>
      <c r="S2" s="78"/>
      <c r="T2" s="78"/>
      <c r="U2" s="78"/>
      <c r="V2" s="78"/>
      <c r="W2" s="78"/>
      <c r="X2" s="78"/>
      <c r="Y2" s="78"/>
      <c r="Z2" s="78"/>
    </row>
    <row r="3" ht="36.75" customHeight="1">
      <c r="A3" s="9" t="s">
        <v>135</v>
      </c>
      <c r="B3" s="9" t="s">
        <v>136</v>
      </c>
      <c r="C3" s="9" t="s">
        <v>137</v>
      </c>
      <c r="D3" s="9" t="s">
        <v>138</v>
      </c>
      <c r="E3" s="9" t="s">
        <v>101</v>
      </c>
      <c r="F3" s="3" t="s">
        <v>17</v>
      </c>
      <c r="G3" s="11"/>
      <c r="H3" s="3" t="s">
        <v>139</v>
      </c>
      <c r="I3" s="11"/>
      <c r="J3" s="11"/>
      <c r="K3" s="11"/>
      <c r="L3" s="11"/>
      <c r="M3" s="11"/>
      <c r="N3" s="11"/>
      <c r="O3" s="11"/>
      <c r="P3" s="11"/>
      <c r="Q3" s="11"/>
      <c r="R3" s="11"/>
      <c r="S3" s="11"/>
      <c r="T3" s="11"/>
      <c r="U3" s="11"/>
      <c r="V3" s="11"/>
      <c r="W3" s="11"/>
      <c r="X3" s="11"/>
      <c r="Y3" s="11"/>
      <c r="Z3" s="11"/>
    </row>
    <row r="4">
      <c r="A4" s="12" t="s">
        <v>140</v>
      </c>
      <c r="B4" s="12">
        <v>200.0</v>
      </c>
      <c r="C4" s="12" t="s">
        <v>141</v>
      </c>
      <c r="D4" s="12" t="s">
        <v>142</v>
      </c>
      <c r="E4" s="12" t="s">
        <v>143</v>
      </c>
      <c r="F4" s="79">
        <v>100000.0</v>
      </c>
      <c r="G4" s="79">
        <v>500000.0</v>
      </c>
      <c r="H4" s="80">
        <v>100.0</v>
      </c>
      <c r="I4" s="80">
        <v>1000.0</v>
      </c>
      <c r="J4" s="80"/>
    </row>
    <row r="5">
      <c r="A5" s="12" t="s">
        <v>144</v>
      </c>
      <c r="B5" s="12">
        <v>800.0</v>
      </c>
      <c r="C5" s="12" t="s">
        <v>145</v>
      </c>
      <c r="D5" s="12" t="s">
        <v>146</v>
      </c>
      <c r="E5" s="12" t="s">
        <v>147</v>
      </c>
      <c r="F5" s="15">
        <v>200000.0</v>
      </c>
      <c r="G5" s="15">
        <v>1000000.0</v>
      </c>
      <c r="H5" s="80">
        <v>500.0</v>
      </c>
      <c r="I5" s="80">
        <v>2000.0</v>
      </c>
      <c r="J5" s="80"/>
    </row>
    <row r="6">
      <c r="A6" s="12" t="s">
        <v>148</v>
      </c>
      <c r="B6" s="21">
        <v>4000.0</v>
      </c>
      <c r="C6" s="12" t="s">
        <v>149</v>
      </c>
      <c r="D6" s="12" t="s">
        <v>150</v>
      </c>
      <c r="E6" s="12" t="s">
        <v>151</v>
      </c>
      <c r="F6" s="79">
        <v>2500000.0</v>
      </c>
      <c r="G6" s="79">
        <v>2500000.0</v>
      </c>
      <c r="H6" s="80">
        <v>1000.0</v>
      </c>
      <c r="I6" s="80">
        <v>5000.0</v>
      </c>
      <c r="J6" s="80"/>
    </row>
    <row r="7">
      <c r="H7" s="80"/>
      <c r="I7" s="80"/>
      <c r="J7" s="80"/>
    </row>
    <row r="8">
      <c r="H8" s="80"/>
      <c r="I8" s="80"/>
      <c r="J8" s="80"/>
    </row>
    <row r="9">
      <c r="H9" s="80"/>
      <c r="I9" s="80"/>
      <c r="J9" s="80"/>
    </row>
    <row r="10">
      <c r="H10" s="80"/>
      <c r="I10" s="80"/>
      <c r="J10" s="80"/>
    </row>
    <row r="11">
      <c r="H11" s="80"/>
      <c r="I11" s="80"/>
      <c r="J11" s="80"/>
    </row>
    <row r="12">
      <c r="H12" s="80"/>
      <c r="I12" s="80"/>
      <c r="J12" s="80"/>
    </row>
    <row r="13">
      <c r="H13" s="80"/>
      <c r="I13" s="80"/>
      <c r="J13" s="80"/>
    </row>
    <row r="14">
      <c r="H14" s="80"/>
      <c r="I14" s="80"/>
      <c r="J14" s="80"/>
    </row>
    <row r="15">
      <c r="H15" s="80"/>
      <c r="I15" s="80"/>
      <c r="J15" s="80"/>
    </row>
    <row r="16">
      <c r="H16" s="80"/>
      <c r="I16" s="80"/>
      <c r="J16" s="80"/>
    </row>
    <row r="17">
      <c r="H17" s="80"/>
      <c r="I17" s="80"/>
      <c r="J17" s="80"/>
    </row>
    <row r="18">
      <c r="H18" s="80"/>
      <c r="I18" s="80"/>
      <c r="J18" s="80"/>
    </row>
    <row r="19">
      <c r="H19" s="80"/>
      <c r="I19" s="80"/>
      <c r="J19" s="80"/>
    </row>
    <row r="20">
      <c r="H20" s="80"/>
      <c r="I20" s="80"/>
      <c r="J20" s="80"/>
    </row>
    <row r="21">
      <c r="H21" s="80"/>
      <c r="I21" s="80"/>
      <c r="J21" s="8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88"/>
    <col customWidth="1" min="7" max="7" width="30.5"/>
    <col customWidth="1" min="8" max="8" width="26.0"/>
    <col customWidth="1" min="9" max="9" width="18.88"/>
    <col customWidth="1" min="10" max="10" width="14.75"/>
    <col customWidth="1" min="11" max="11" width="19.13"/>
    <col customWidth="1" min="12" max="12" width="21.75"/>
    <col customWidth="1" min="13" max="13" width="23.38"/>
  </cols>
  <sheetData>
    <row r="3">
      <c r="B3" s="12" t="s">
        <v>152</v>
      </c>
    </row>
    <row r="5">
      <c r="B5" s="12" t="s">
        <v>115</v>
      </c>
    </row>
    <row r="6">
      <c r="B6" s="12" t="s">
        <v>117</v>
      </c>
    </row>
    <row r="7">
      <c r="B7" s="12" t="s">
        <v>119</v>
      </c>
    </row>
    <row r="8">
      <c r="B8" s="12" t="s">
        <v>120</v>
      </c>
    </row>
    <row r="9">
      <c r="B9" s="12" t="s">
        <v>122</v>
      </c>
    </row>
    <row r="10">
      <c r="A10" s="73"/>
      <c r="B10" s="12" t="s">
        <v>124</v>
      </c>
      <c r="C10" s="72"/>
      <c r="D10" s="72"/>
      <c r="E10" s="72"/>
      <c r="F10" s="72"/>
      <c r="G10" s="81"/>
      <c r="H10" s="81"/>
      <c r="I10" s="72"/>
      <c r="J10" s="72"/>
      <c r="K10" s="72"/>
      <c r="L10" s="72"/>
      <c r="M10" s="72"/>
      <c r="N10" s="72"/>
      <c r="O10" s="73"/>
      <c r="P10" s="73"/>
      <c r="Q10" s="73"/>
      <c r="R10" s="73"/>
      <c r="S10" s="73"/>
      <c r="T10" s="73"/>
      <c r="U10" s="73"/>
      <c r="V10" s="73"/>
      <c r="W10" s="73"/>
      <c r="X10" s="73"/>
      <c r="Y10" s="73"/>
      <c r="Z10" s="73"/>
    </row>
    <row r="11">
      <c r="B11" s="12" t="s">
        <v>127</v>
      </c>
    </row>
    <row r="13">
      <c r="B13" s="12" t="s">
        <v>153</v>
      </c>
    </row>
    <row r="15">
      <c r="B15" s="12" t="s">
        <v>0</v>
      </c>
      <c r="C15" s="12" t="s">
        <v>1</v>
      </c>
      <c r="D15" s="12" t="s">
        <v>154</v>
      </c>
      <c r="E15" s="12" t="s">
        <v>155</v>
      </c>
      <c r="F15" s="12" t="s">
        <v>156</v>
      </c>
      <c r="G15" s="30" t="s">
        <v>157</v>
      </c>
      <c r="H15" s="30" t="s">
        <v>158</v>
      </c>
      <c r="I15" s="30" t="s">
        <v>159</v>
      </c>
      <c r="J15" s="30" t="s">
        <v>160</v>
      </c>
      <c r="K15" s="30" t="s">
        <v>161</v>
      </c>
      <c r="L15" s="30" t="s">
        <v>162</v>
      </c>
      <c r="M15" s="30" t="s">
        <v>163</v>
      </c>
      <c r="N15" s="12" t="s">
        <v>164</v>
      </c>
      <c r="O15" s="12" t="s">
        <v>165</v>
      </c>
      <c r="P15" s="12" t="s">
        <v>166</v>
      </c>
      <c r="Q15" s="12" t="s">
        <v>167</v>
      </c>
      <c r="R15" s="12" t="s">
        <v>168</v>
      </c>
      <c r="S15" s="12" t="s">
        <v>169</v>
      </c>
    </row>
    <row r="16">
      <c r="B16" s="12" t="s">
        <v>28</v>
      </c>
      <c r="C16" s="13" t="s">
        <v>29</v>
      </c>
      <c r="D16" s="12" t="s">
        <v>170</v>
      </c>
      <c r="E16" s="12" t="s">
        <v>171</v>
      </c>
      <c r="F16" s="12" t="s">
        <v>172</v>
      </c>
      <c r="G16" s="12" t="s">
        <v>173</v>
      </c>
      <c r="H16" s="12" t="s">
        <v>174</v>
      </c>
      <c r="I16" s="12" t="s">
        <v>175</v>
      </c>
      <c r="J16" s="12" t="s">
        <v>176</v>
      </c>
      <c r="K16" s="12" t="s">
        <v>177</v>
      </c>
      <c r="L16" s="12" t="s">
        <v>177</v>
      </c>
      <c r="M16" s="12" t="s">
        <v>178</v>
      </c>
      <c r="N16" s="12" t="s">
        <v>179</v>
      </c>
      <c r="O16" s="12" t="s">
        <v>180</v>
      </c>
      <c r="P16" s="12">
        <v>2.0</v>
      </c>
      <c r="Q16" s="12" t="s">
        <v>181</v>
      </c>
      <c r="R16" s="12" t="s">
        <v>182</v>
      </c>
      <c r="S16" s="12" t="s">
        <v>183</v>
      </c>
    </row>
    <row r="17">
      <c r="B17" s="12" t="s">
        <v>34</v>
      </c>
      <c r="C17" s="13" t="s">
        <v>35</v>
      </c>
      <c r="D17" s="12" t="s">
        <v>184</v>
      </c>
      <c r="E17" s="12" t="s">
        <v>185</v>
      </c>
      <c r="F17" s="12" t="s">
        <v>186</v>
      </c>
      <c r="G17" s="12" t="s">
        <v>187</v>
      </c>
      <c r="H17" s="12" t="s">
        <v>188</v>
      </c>
      <c r="I17" s="12" t="s">
        <v>189</v>
      </c>
      <c r="J17" s="12" t="s">
        <v>177</v>
      </c>
      <c r="K17" s="12" t="s">
        <v>190</v>
      </c>
      <c r="L17" s="12" t="s">
        <v>190</v>
      </c>
      <c r="M17" s="12" t="s">
        <v>191</v>
      </c>
      <c r="N17" s="12" t="s">
        <v>175</v>
      </c>
      <c r="O17" s="12" t="s">
        <v>192</v>
      </c>
      <c r="P17" s="12" t="s">
        <v>193</v>
      </c>
      <c r="Q17" s="12" t="s">
        <v>194</v>
      </c>
      <c r="R17" s="12" t="s">
        <v>195</v>
      </c>
      <c r="S17" s="12" t="s">
        <v>196</v>
      </c>
    </row>
    <row r="18">
      <c r="B18" s="12" t="s">
        <v>40</v>
      </c>
      <c r="C18" s="13" t="s">
        <v>41</v>
      </c>
      <c r="D18" s="12" t="s">
        <v>197</v>
      </c>
      <c r="E18" s="12" t="s">
        <v>198</v>
      </c>
      <c r="F18" s="12" t="s">
        <v>187</v>
      </c>
      <c r="G18" s="12" t="s">
        <v>175</v>
      </c>
      <c r="H18" s="12" t="s">
        <v>199</v>
      </c>
      <c r="I18" s="12" t="s">
        <v>200</v>
      </c>
      <c r="J18" s="12" t="s">
        <v>190</v>
      </c>
      <c r="K18" s="12" t="s">
        <v>201</v>
      </c>
      <c r="L18" s="12" t="s">
        <v>201</v>
      </c>
      <c r="M18" s="12" t="s">
        <v>202</v>
      </c>
      <c r="N18" s="12" t="s">
        <v>176</v>
      </c>
      <c r="O18" s="12" t="s">
        <v>203</v>
      </c>
      <c r="P18" s="12" t="s">
        <v>204</v>
      </c>
      <c r="Q18" s="12" t="s">
        <v>205</v>
      </c>
      <c r="R18" s="12" t="s">
        <v>206</v>
      </c>
      <c r="S18" s="12" t="s">
        <v>207</v>
      </c>
    </row>
    <row r="19">
      <c r="B19" s="12" t="s">
        <v>45</v>
      </c>
      <c r="C19" s="12" t="s">
        <v>46</v>
      </c>
      <c r="D19" s="12" t="s">
        <v>208</v>
      </c>
      <c r="F19" s="12" t="s">
        <v>209</v>
      </c>
      <c r="G19" s="12" t="s">
        <v>175</v>
      </c>
      <c r="H19" s="12" t="s">
        <v>199</v>
      </c>
      <c r="I19" s="12" t="s">
        <v>210</v>
      </c>
      <c r="J19" s="12" t="s">
        <v>199</v>
      </c>
      <c r="K19" s="12" t="s">
        <v>200</v>
      </c>
      <c r="L19" s="12" t="s">
        <v>177</v>
      </c>
      <c r="M19" s="12" t="s">
        <v>177</v>
      </c>
      <c r="N19" s="12" t="s">
        <v>178</v>
      </c>
      <c r="O19" s="12" t="s">
        <v>187</v>
      </c>
      <c r="P19" s="12" t="s">
        <v>211</v>
      </c>
      <c r="Q19" s="12" t="s">
        <v>212</v>
      </c>
      <c r="R19" s="12" t="s">
        <v>213</v>
      </c>
      <c r="S19" s="12" t="s">
        <v>214</v>
      </c>
      <c r="T19" s="12" t="s">
        <v>215</v>
      </c>
    </row>
    <row r="20">
      <c r="B20" s="12" t="s">
        <v>50</v>
      </c>
      <c r="C20" s="13" t="s">
        <v>51</v>
      </c>
      <c r="D20" s="12" t="s">
        <v>216</v>
      </c>
      <c r="E20" s="12" t="s">
        <v>217</v>
      </c>
      <c r="F20" s="12" t="s">
        <v>218</v>
      </c>
      <c r="G20" s="12" t="s">
        <v>189</v>
      </c>
      <c r="H20" s="12" t="s">
        <v>188</v>
      </c>
      <c r="I20" s="12" t="s">
        <v>189</v>
      </c>
      <c r="J20" s="12" t="s">
        <v>177</v>
      </c>
      <c r="K20" s="12" t="s">
        <v>190</v>
      </c>
      <c r="L20" s="12" t="s">
        <v>190</v>
      </c>
      <c r="M20" s="12" t="s">
        <v>191</v>
      </c>
      <c r="N20" s="12" t="s">
        <v>187</v>
      </c>
      <c r="O20" s="12" t="s">
        <v>219</v>
      </c>
      <c r="P20" s="12" t="s">
        <v>220</v>
      </c>
      <c r="Q20" s="12" t="s">
        <v>221</v>
      </c>
      <c r="R20" s="12" t="s">
        <v>53</v>
      </c>
      <c r="S20" s="12" t="s">
        <v>222</v>
      </c>
    </row>
    <row r="21">
      <c r="B21" s="12" t="s">
        <v>54</v>
      </c>
      <c r="C21" s="13" t="s">
        <v>55</v>
      </c>
      <c r="D21" s="76" t="s">
        <v>223</v>
      </c>
      <c r="E21" s="12" t="s">
        <v>224</v>
      </c>
      <c r="F21" s="12" t="s">
        <v>174</v>
      </c>
      <c r="G21" s="12" t="s">
        <v>225</v>
      </c>
      <c r="H21" s="12" t="s">
        <v>226</v>
      </c>
      <c r="I21" s="12" t="s">
        <v>199</v>
      </c>
      <c r="J21" s="12" t="s">
        <v>200</v>
      </c>
      <c r="K21" s="12" t="s">
        <v>177</v>
      </c>
      <c r="L21" s="12" t="s">
        <v>177</v>
      </c>
      <c r="M21" s="12" t="s">
        <v>178</v>
      </c>
      <c r="N21" s="12" t="s">
        <v>227</v>
      </c>
      <c r="O21" s="12" t="s">
        <v>228</v>
      </c>
      <c r="P21" s="12" t="s">
        <v>212</v>
      </c>
      <c r="Q21" s="12" t="s">
        <v>229</v>
      </c>
      <c r="R21" s="12" t="s">
        <v>230</v>
      </c>
      <c r="S21" s="12" t="s">
        <v>231</v>
      </c>
    </row>
    <row r="22">
      <c r="B22" s="12" t="s">
        <v>59</v>
      </c>
      <c r="C22" s="13" t="s">
        <v>60</v>
      </c>
      <c r="D22" s="12" t="s">
        <v>232</v>
      </c>
      <c r="E22" s="12" t="s">
        <v>233</v>
      </c>
      <c r="F22" s="12" t="s">
        <v>176</v>
      </c>
      <c r="G22" s="12" t="s">
        <v>177</v>
      </c>
      <c r="H22" s="12" t="s">
        <v>189</v>
      </c>
      <c r="I22" s="12" t="s">
        <v>177</v>
      </c>
      <c r="J22" s="12" t="s">
        <v>234</v>
      </c>
      <c r="K22" s="12" t="s">
        <v>234</v>
      </c>
      <c r="L22" s="12" t="s">
        <v>234</v>
      </c>
      <c r="M22" s="12" t="s">
        <v>235</v>
      </c>
      <c r="N22" s="12" t="s">
        <v>177</v>
      </c>
      <c r="O22" s="12" t="s">
        <v>236</v>
      </c>
      <c r="P22" s="12" t="s">
        <v>237</v>
      </c>
      <c r="Q22" s="12" t="s">
        <v>238</v>
      </c>
      <c r="R22" s="12" t="s">
        <v>239</v>
      </c>
      <c r="S22" s="12" t="s">
        <v>240</v>
      </c>
    </row>
    <row r="23">
      <c r="B23" s="12" t="s">
        <v>64</v>
      </c>
      <c r="C23" s="13" t="s">
        <v>65</v>
      </c>
      <c r="D23" s="12" t="s">
        <v>241</v>
      </c>
      <c r="E23" s="12" t="s">
        <v>242</v>
      </c>
      <c r="F23" s="12" t="s">
        <v>176</v>
      </c>
      <c r="G23" s="12" t="s">
        <v>177</v>
      </c>
      <c r="H23" s="12" t="s">
        <v>189</v>
      </c>
      <c r="I23" s="12" t="s">
        <v>177</v>
      </c>
      <c r="J23" s="12" t="s">
        <v>234</v>
      </c>
      <c r="K23" s="12" t="s">
        <v>234</v>
      </c>
      <c r="L23" s="12" t="s">
        <v>234</v>
      </c>
      <c r="M23" s="12" t="s">
        <v>235</v>
      </c>
      <c r="N23" s="12" t="s">
        <v>177</v>
      </c>
      <c r="O23" s="12" t="s">
        <v>236</v>
      </c>
      <c r="P23" s="12" t="s">
        <v>237</v>
      </c>
      <c r="Q23" s="12" t="s">
        <v>243</v>
      </c>
      <c r="R23" s="12" t="s">
        <v>67</v>
      </c>
      <c r="S23" s="12" t="s">
        <v>240</v>
      </c>
    </row>
    <row r="24">
      <c r="B24" s="12" t="s">
        <v>68</v>
      </c>
      <c r="C24" s="13" t="s">
        <v>69</v>
      </c>
      <c r="D24" s="12" t="s">
        <v>244</v>
      </c>
      <c r="E24" s="12" t="s">
        <v>242</v>
      </c>
      <c r="F24" s="12" t="s">
        <v>176</v>
      </c>
      <c r="G24" s="12" t="s">
        <v>177</v>
      </c>
      <c r="H24" s="12" t="s">
        <v>189</v>
      </c>
      <c r="I24" s="12" t="s">
        <v>177</v>
      </c>
      <c r="J24" s="12" t="s">
        <v>234</v>
      </c>
      <c r="K24" s="12" t="s">
        <v>234</v>
      </c>
      <c r="L24" s="12" t="s">
        <v>234</v>
      </c>
      <c r="M24" s="12" t="s">
        <v>235</v>
      </c>
      <c r="N24" s="12" t="s">
        <v>177</v>
      </c>
      <c r="O24" s="12" t="s">
        <v>245</v>
      </c>
      <c r="P24" s="12" t="s">
        <v>246</v>
      </c>
      <c r="Q24" s="12" t="s">
        <v>205</v>
      </c>
      <c r="R24" s="12" t="s">
        <v>247</v>
      </c>
      <c r="S24" s="12" t="s">
        <v>240</v>
      </c>
    </row>
    <row r="25">
      <c r="B25" s="12" t="s">
        <v>72</v>
      </c>
      <c r="C25" s="13" t="s">
        <v>73</v>
      </c>
      <c r="D25" s="12" t="s">
        <v>248</v>
      </c>
      <c r="E25" s="12" t="s">
        <v>249</v>
      </c>
      <c r="F25" s="12" t="s">
        <v>175</v>
      </c>
      <c r="G25" s="12" t="s">
        <v>218</v>
      </c>
      <c r="H25" s="12" t="s">
        <v>225</v>
      </c>
      <c r="I25" s="12" t="s">
        <v>189</v>
      </c>
      <c r="J25" s="12" t="s">
        <v>177</v>
      </c>
      <c r="K25" s="12" t="s">
        <v>190</v>
      </c>
      <c r="L25" s="12" t="s">
        <v>190</v>
      </c>
      <c r="M25" s="12" t="s">
        <v>191</v>
      </c>
      <c r="N25" s="12" t="s">
        <v>175</v>
      </c>
      <c r="O25" s="12" t="s">
        <v>228</v>
      </c>
      <c r="P25" s="12" t="s">
        <v>250</v>
      </c>
      <c r="Q25" s="12" t="s">
        <v>251</v>
      </c>
      <c r="R25" s="12" t="s">
        <v>252</v>
      </c>
      <c r="S25" s="12" t="s">
        <v>196</v>
      </c>
    </row>
    <row r="26">
      <c r="B26" s="12" t="s">
        <v>76</v>
      </c>
      <c r="C26" s="13" t="s">
        <v>77</v>
      </c>
      <c r="D26" s="76">
        <v>69.0</v>
      </c>
      <c r="E26" s="12" t="s">
        <v>253</v>
      </c>
      <c r="F26" s="12" t="s">
        <v>199</v>
      </c>
      <c r="G26" s="12" t="s">
        <v>189</v>
      </c>
      <c r="H26" s="12" t="s">
        <v>199</v>
      </c>
      <c r="I26" s="12" t="s">
        <v>200</v>
      </c>
      <c r="J26" s="12" t="s">
        <v>190</v>
      </c>
      <c r="K26" s="12" t="s">
        <v>201</v>
      </c>
      <c r="L26" s="12" t="s">
        <v>201</v>
      </c>
      <c r="M26" s="12" t="s">
        <v>202</v>
      </c>
      <c r="N26" s="12" t="s">
        <v>176</v>
      </c>
      <c r="O26" s="12" t="s">
        <v>236</v>
      </c>
      <c r="P26" s="12" t="s">
        <v>254</v>
      </c>
      <c r="Q26" s="12" t="s">
        <v>78</v>
      </c>
      <c r="R26" s="12" t="s">
        <v>255</v>
      </c>
      <c r="S26" s="12" t="s">
        <v>207</v>
      </c>
    </row>
    <row r="27">
      <c r="B27" s="12" t="s">
        <v>80</v>
      </c>
      <c r="C27" s="13" t="s">
        <v>81</v>
      </c>
      <c r="D27" s="12" t="s">
        <v>256</v>
      </c>
      <c r="E27" s="12" t="s">
        <v>257</v>
      </c>
      <c r="F27" s="12" t="s">
        <v>175</v>
      </c>
      <c r="G27" s="12" t="s">
        <v>199</v>
      </c>
      <c r="H27" s="12" t="s">
        <v>174</v>
      </c>
      <c r="I27" s="12" t="s">
        <v>199</v>
      </c>
      <c r="J27" s="12" t="s">
        <v>200</v>
      </c>
      <c r="K27" s="12" t="s">
        <v>177</v>
      </c>
      <c r="L27" s="12" t="s">
        <v>177</v>
      </c>
      <c r="M27" s="12" t="s">
        <v>178</v>
      </c>
      <c r="N27" s="12" t="s">
        <v>187</v>
      </c>
      <c r="O27" s="12" t="s">
        <v>258</v>
      </c>
      <c r="P27" s="12" t="s">
        <v>259</v>
      </c>
      <c r="Q27" s="12" t="s">
        <v>260</v>
      </c>
      <c r="R27" s="12" t="s">
        <v>261</v>
      </c>
      <c r="S27" s="12" t="s">
        <v>222</v>
      </c>
    </row>
    <row r="28">
      <c r="B28" s="12" t="s">
        <v>84</v>
      </c>
      <c r="C28" s="13" t="s">
        <v>85</v>
      </c>
      <c r="D28" s="12" t="s">
        <v>262</v>
      </c>
      <c r="E28" s="12" t="s">
        <v>242</v>
      </c>
      <c r="F28" s="12" t="s">
        <v>200</v>
      </c>
      <c r="G28" s="12" t="s">
        <v>177</v>
      </c>
      <c r="H28" s="12" t="s">
        <v>189</v>
      </c>
      <c r="I28" s="12" t="s">
        <v>200</v>
      </c>
      <c r="J28" s="12" t="s">
        <v>190</v>
      </c>
      <c r="K28" s="12" t="s">
        <v>201</v>
      </c>
      <c r="L28" s="12" t="s">
        <v>201</v>
      </c>
      <c r="M28" s="12" t="s">
        <v>202</v>
      </c>
      <c r="N28" s="12" t="s">
        <v>175</v>
      </c>
      <c r="O28" s="12" t="s">
        <v>219</v>
      </c>
      <c r="P28" s="12" t="s">
        <v>254</v>
      </c>
      <c r="Q28" s="12" t="s">
        <v>263</v>
      </c>
      <c r="R28" s="12" t="s">
        <v>264</v>
      </c>
      <c r="S28" s="12" t="s">
        <v>196</v>
      </c>
    </row>
    <row r="30">
      <c r="B30" s="12" t="s">
        <v>265</v>
      </c>
    </row>
  </sheetData>
  <hyperlinks>
    <hyperlink r:id="rId1" ref="C16"/>
    <hyperlink r:id="rId2" ref="C17"/>
    <hyperlink r:id="rId3" ref="C18"/>
    <hyperlink r:id="rId4" ref="C20"/>
    <hyperlink r:id="rId5" ref="C21"/>
    <hyperlink r:id="rId6" ref="C22"/>
    <hyperlink r:id="rId7" ref="C23"/>
    <hyperlink r:id="rId8" ref="C24"/>
    <hyperlink r:id="rId9" ref="C25"/>
    <hyperlink r:id="rId10" ref="C26"/>
    <hyperlink r:id="rId11" ref="C27"/>
    <hyperlink r:id="rId12" ref="C28"/>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75"/>
    <col customWidth="1" min="4" max="4" width="7.38"/>
    <col customWidth="1" min="5" max="5" width="26.88"/>
    <col customWidth="1" min="6" max="6" width="4.75"/>
    <col customWidth="1" min="7" max="7" width="7.38"/>
  </cols>
  <sheetData>
    <row r="2">
      <c r="A2" s="82">
        <v>46062.0</v>
      </c>
      <c r="B2" s="12" t="s">
        <v>266</v>
      </c>
      <c r="C2" s="12">
        <v>6096.0</v>
      </c>
      <c r="D2" s="12" t="s">
        <v>267</v>
      </c>
      <c r="E2" s="12" t="s">
        <v>268</v>
      </c>
      <c r="F2" s="12">
        <v>2237.0</v>
      </c>
      <c r="G2" s="12" t="s">
        <v>267</v>
      </c>
    </row>
    <row r="3">
      <c r="A3" s="82">
        <v>46063.0</v>
      </c>
      <c r="B3" s="12" t="s">
        <v>266</v>
      </c>
      <c r="C3" s="12">
        <v>6510.0</v>
      </c>
      <c r="D3" s="83">
        <f t="shared" ref="D3:D7" si="1">C3-C2</f>
        <v>414</v>
      </c>
      <c r="E3" s="12" t="s">
        <v>268</v>
      </c>
      <c r="F3" s="12">
        <v>2474.0</v>
      </c>
      <c r="G3" s="83">
        <f t="shared" ref="G3:G7" si="2">F3-F2</f>
        <v>237</v>
      </c>
    </row>
    <row r="4">
      <c r="A4" s="82">
        <v>46064.0</v>
      </c>
      <c r="B4" s="12" t="s">
        <v>266</v>
      </c>
      <c r="C4" s="12">
        <v>6704.0</v>
      </c>
      <c r="D4" s="83">
        <f t="shared" si="1"/>
        <v>194</v>
      </c>
      <c r="E4" s="12" t="s">
        <v>268</v>
      </c>
      <c r="F4" s="12">
        <v>1982.0</v>
      </c>
      <c r="G4" s="83">
        <f t="shared" si="2"/>
        <v>-492</v>
      </c>
    </row>
    <row r="5">
      <c r="A5" s="82">
        <v>46065.0</v>
      </c>
      <c r="B5" s="12" t="s">
        <v>266</v>
      </c>
      <c r="C5" s="12">
        <v>7125.0</v>
      </c>
      <c r="D5" s="83">
        <f t="shared" si="1"/>
        <v>421</v>
      </c>
      <c r="E5" s="12" t="s">
        <v>268</v>
      </c>
      <c r="F5" s="12">
        <v>2462.0</v>
      </c>
      <c r="G5" s="83">
        <f t="shared" si="2"/>
        <v>480</v>
      </c>
    </row>
    <row r="6">
      <c r="A6" s="82">
        <v>46065.0</v>
      </c>
      <c r="B6" s="12" t="s">
        <v>266</v>
      </c>
      <c r="C6" s="12">
        <v>7230.0</v>
      </c>
      <c r="D6" s="83">
        <f t="shared" si="1"/>
        <v>105</v>
      </c>
      <c r="E6" s="12" t="s">
        <v>268</v>
      </c>
      <c r="F6" s="12">
        <v>1094.0</v>
      </c>
      <c r="G6" s="83">
        <f t="shared" si="2"/>
        <v>-1368</v>
      </c>
    </row>
    <row r="7">
      <c r="A7" s="82">
        <v>46069.0</v>
      </c>
      <c r="B7" s="12" t="s">
        <v>266</v>
      </c>
      <c r="C7" s="12">
        <v>7230.0</v>
      </c>
      <c r="D7" s="83">
        <f t="shared" si="1"/>
        <v>0</v>
      </c>
      <c r="E7" s="12" t="s">
        <v>268</v>
      </c>
      <c r="F7" s="12">
        <v>1015.0</v>
      </c>
      <c r="G7" s="83">
        <f t="shared" si="2"/>
        <v>-79</v>
      </c>
    </row>
    <row r="9">
      <c r="A9" s="82"/>
    </row>
    <row r="10">
      <c r="A10" s="82"/>
    </row>
    <row r="11">
      <c r="A11" s="82"/>
    </row>
    <row r="12">
      <c r="A12" s="82"/>
    </row>
    <row r="13">
      <c r="A13" s="82"/>
    </row>
  </sheetData>
  <drawing r:id="rId1"/>
</worksheet>
</file>